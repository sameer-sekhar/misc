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45" windowWidth="20115" windowHeight="7590" activeTab="1"/>
  </bookViews>
  <sheets>
    <sheet name="Main" sheetId="8" r:id="rId1"/>
    <sheet name="TeamConfig" sheetId="2" r:id="rId2"/>
    <sheet name="Batting" sheetId="1" r:id="rId3"/>
    <sheet name="Bowling" sheetId="3" r:id="rId4"/>
    <sheet name="Fielding" sheetId="4" r:id="rId5"/>
    <sheet name="Score" sheetId="7" r:id="rId6"/>
    <sheet name="PlayerPool" sheetId="5" r:id="rId7"/>
    <sheet name="DailyTeamScore" sheetId="10" r:id="rId8"/>
    <sheet name="TotalTeamScore" sheetId="11" r:id="rId9"/>
    <sheet name="SubstitutionLog" sheetId="12" r:id="rId10"/>
  </sheets>
  <definedNames>
    <definedName name="_xlnm._FilterDatabase" localSheetId="7" hidden="1">DailyTeamScore!$A$1:$H$1</definedName>
    <definedName name="abc">Score!$C$3:$C$24</definedName>
    <definedName name="batting">Batting!$C$5:$O$24</definedName>
    <definedName name="bowling">Bowling!$C$5:$J$24</definedName>
    <definedName name="Fielding">Fielding!$C$5:$J$24</definedName>
    <definedName name="Player">PlayerPool!$B$3:$B$21</definedName>
    <definedName name="Score">Score!$D$5:$H$24</definedName>
    <definedName name="score_d">Score!$D$3:$H$3</definedName>
    <definedName name="score_p">Score!$C$5:$C$24</definedName>
    <definedName name="Team1">TeamConfig!$B$4:$B$8</definedName>
    <definedName name="Universal">PlayerPool!$B$2:$C$21</definedName>
  </definedNames>
  <calcPr calcId="125725"/>
</workbook>
</file>

<file path=xl/calcChain.xml><?xml version="1.0" encoding="utf-8"?>
<calcChain xmlns="http://schemas.openxmlformats.org/spreadsheetml/2006/main">
  <c r="F24" i="2"/>
  <c r="F17"/>
  <c r="F10"/>
  <c r="F3"/>
  <c r="D24"/>
  <c r="G5" i="11"/>
  <c r="D17" i="2"/>
  <c r="G4" i="11"/>
  <c r="D10" i="2"/>
  <c r="G3" i="11"/>
  <c r="D3" i="2"/>
  <c r="G2" i="11"/>
  <c r="E24" i="2"/>
  <c r="E17"/>
  <c r="E3"/>
  <c r="E10"/>
  <c r="K7" i="1"/>
  <c r="C29" i="2"/>
  <c r="C28"/>
  <c r="C27"/>
  <c r="C26"/>
  <c r="C25"/>
  <c r="M6" i="4"/>
  <c r="M7"/>
  <c r="M8"/>
  <c r="M9"/>
  <c r="M10"/>
  <c r="M11"/>
  <c r="M12"/>
  <c r="M13"/>
  <c r="M14"/>
  <c r="M16"/>
  <c r="M17"/>
  <c r="M18"/>
  <c r="M19"/>
  <c r="M20"/>
  <c r="M21"/>
  <c r="M22"/>
  <c r="M23"/>
  <c r="M24"/>
  <c r="K6"/>
  <c r="K7"/>
  <c r="K8"/>
  <c r="K9"/>
  <c r="K10"/>
  <c r="K11"/>
  <c r="K12"/>
  <c r="K13"/>
  <c r="K14"/>
  <c r="K16"/>
  <c r="K17"/>
  <c r="K18"/>
  <c r="K19"/>
  <c r="K20"/>
  <c r="K21"/>
  <c r="K22"/>
  <c r="K23"/>
  <c r="K24"/>
  <c r="I6"/>
  <c r="I7"/>
  <c r="I8"/>
  <c r="I9"/>
  <c r="I10"/>
  <c r="I11"/>
  <c r="I12"/>
  <c r="I13"/>
  <c r="I14"/>
  <c r="I16"/>
  <c r="I17"/>
  <c r="I18"/>
  <c r="I19"/>
  <c r="I20"/>
  <c r="I21"/>
  <c r="I22"/>
  <c r="I23"/>
  <c r="I24"/>
  <c r="M5"/>
  <c r="K5"/>
  <c r="I5"/>
  <c r="G6"/>
  <c r="G7"/>
  <c r="G8"/>
  <c r="G9"/>
  <c r="G10"/>
  <c r="G11"/>
  <c r="G12"/>
  <c r="G13"/>
  <c r="G14"/>
  <c r="G16"/>
  <c r="G17"/>
  <c r="G18"/>
  <c r="G19"/>
  <c r="G20"/>
  <c r="G21"/>
  <c r="G22"/>
  <c r="G23"/>
  <c r="G24"/>
  <c r="G5"/>
  <c r="E6"/>
  <c r="E7"/>
  <c r="E8"/>
  <c r="E9"/>
  <c r="E10"/>
  <c r="E11"/>
  <c r="E12"/>
  <c r="E13"/>
  <c r="E14"/>
  <c r="O14" s="1"/>
  <c r="E16"/>
  <c r="E17"/>
  <c r="E18"/>
  <c r="E19"/>
  <c r="E20"/>
  <c r="E21"/>
  <c r="E22"/>
  <c r="E23"/>
  <c r="E24"/>
  <c r="E5"/>
  <c r="E6" i="3"/>
  <c r="D6" i="7" s="1"/>
  <c r="E7" i="3"/>
  <c r="D7" i="7" s="1"/>
  <c r="E8" i="3"/>
  <c r="D8" i="7" s="1"/>
  <c r="E9" i="3"/>
  <c r="D9" i="7" s="1"/>
  <c r="E10" i="3"/>
  <c r="D10" i="7" s="1"/>
  <c r="E11" i="3"/>
  <c r="D11" i="7" s="1"/>
  <c r="E12" i="3"/>
  <c r="D12" i="7" s="1"/>
  <c r="E13" i="3"/>
  <c r="D13" i="7" s="1"/>
  <c r="E14" i="3"/>
  <c r="D14" i="7" s="1"/>
  <c r="E16" i="3"/>
  <c r="D16" i="7" s="1"/>
  <c r="E17" i="3"/>
  <c r="D17" i="7" s="1"/>
  <c r="E18" i="3"/>
  <c r="D18" i="7" s="1"/>
  <c r="E19" i="3"/>
  <c r="D19" i="7" s="1"/>
  <c r="E20" i="3"/>
  <c r="D20" i="7" s="1"/>
  <c r="E21" i="3"/>
  <c r="D21" i="7" s="1"/>
  <c r="E22" i="3"/>
  <c r="D22" i="7" s="1"/>
  <c r="E23" i="3"/>
  <c r="D23" i="7" s="1"/>
  <c r="E24" i="3"/>
  <c r="D24" i="7" s="1"/>
  <c r="G6" i="3"/>
  <c r="E6" i="7" s="1"/>
  <c r="G7" i="3"/>
  <c r="E7" i="7" s="1"/>
  <c r="G8" i="3"/>
  <c r="E8" i="7" s="1"/>
  <c r="G9" i="3"/>
  <c r="E9" i="7" s="1"/>
  <c r="G10" i="3"/>
  <c r="E10" i="7" s="1"/>
  <c r="G11" i="3"/>
  <c r="E11" i="7" s="1"/>
  <c r="G12" i="3"/>
  <c r="E12" i="7" s="1"/>
  <c r="G13" i="3"/>
  <c r="E13" i="7" s="1"/>
  <c r="G14" i="3"/>
  <c r="E14" i="7" s="1"/>
  <c r="G16" i="3"/>
  <c r="E16" i="7" s="1"/>
  <c r="G17" i="3"/>
  <c r="E17" i="7" s="1"/>
  <c r="G18" i="3"/>
  <c r="E18" i="7" s="1"/>
  <c r="G19" i="3"/>
  <c r="E19" i="7" s="1"/>
  <c r="G20" i="3"/>
  <c r="E20" i="7" s="1"/>
  <c r="G21" i="3"/>
  <c r="E21" i="7" s="1"/>
  <c r="G22" i="3"/>
  <c r="E22" i="7" s="1"/>
  <c r="G23" i="3"/>
  <c r="E23" i="7" s="1"/>
  <c r="G24" i="3"/>
  <c r="E24" i="7" s="1"/>
  <c r="I6" i="3"/>
  <c r="I7"/>
  <c r="I8"/>
  <c r="I9"/>
  <c r="I10"/>
  <c r="I11"/>
  <c r="I12"/>
  <c r="I13"/>
  <c r="I14"/>
  <c r="F14" i="7" s="1"/>
  <c r="I16" i="3"/>
  <c r="I17"/>
  <c r="F17" i="7" s="1"/>
  <c r="I18" i="3"/>
  <c r="I19"/>
  <c r="F19" i="7" s="1"/>
  <c r="I20" i="3"/>
  <c r="I21"/>
  <c r="F21" i="7" s="1"/>
  <c r="I22" i="3"/>
  <c r="I23"/>
  <c r="I24"/>
  <c r="K6"/>
  <c r="K7"/>
  <c r="K8"/>
  <c r="K9"/>
  <c r="K10"/>
  <c r="K11"/>
  <c r="G11" i="7" s="1"/>
  <c r="K12" i="3"/>
  <c r="K13"/>
  <c r="K14"/>
  <c r="G14" i="7" s="1"/>
  <c r="K16" i="3"/>
  <c r="K17"/>
  <c r="K18"/>
  <c r="K19"/>
  <c r="K20"/>
  <c r="G20" i="7" s="1"/>
  <c r="K21" i="3"/>
  <c r="G21" i="7" s="1"/>
  <c r="K22" i="3"/>
  <c r="K23"/>
  <c r="K24"/>
  <c r="M6"/>
  <c r="M7"/>
  <c r="H7" i="7" s="1"/>
  <c r="M8" i="3"/>
  <c r="H8" i="7" s="1"/>
  <c r="M9" i="3"/>
  <c r="H9" i="7" s="1"/>
  <c r="M10" i="3"/>
  <c r="H10" i="7" s="1"/>
  <c r="M11" i="3"/>
  <c r="H11" i="7" s="1"/>
  <c r="M12" i="3"/>
  <c r="H12" i="7" s="1"/>
  <c r="M13" i="3"/>
  <c r="H13" i="7" s="1"/>
  <c r="M14" i="3"/>
  <c r="H14" i="7" s="1"/>
  <c r="M16" i="3"/>
  <c r="H16" i="7" s="1"/>
  <c r="M17" i="3"/>
  <c r="H17" i="7" s="1"/>
  <c r="M18" i="3"/>
  <c r="H18" i="7" s="1"/>
  <c r="M19" i="3"/>
  <c r="H19" i="7" s="1"/>
  <c r="M20" i="3"/>
  <c r="H20" i="7" s="1"/>
  <c r="M21" i="3"/>
  <c r="H21" i="7" s="1"/>
  <c r="M22" i="3"/>
  <c r="H22" i="7" s="1"/>
  <c r="M23" i="3"/>
  <c r="H23" i="7" s="1"/>
  <c r="M24" i="3"/>
  <c r="H24" i="7" s="1"/>
  <c r="M5" i="3"/>
  <c r="K5"/>
  <c r="I5"/>
  <c r="G5"/>
  <c r="E5" i="7" s="1"/>
  <c r="E5" i="3"/>
  <c r="D5" i="7" s="1"/>
  <c r="E6" i="1"/>
  <c r="E7"/>
  <c r="E8"/>
  <c r="E9"/>
  <c r="E10"/>
  <c r="E11"/>
  <c r="E12"/>
  <c r="E13"/>
  <c r="E14"/>
  <c r="E16"/>
  <c r="E17"/>
  <c r="E18"/>
  <c r="E19"/>
  <c r="E20"/>
  <c r="E21"/>
  <c r="E22"/>
  <c r="E23"/>
  <c r="E24"/>
  <c r="G6"/>
  <c r="G7"/>
  <c r="G8"/>
  <c r="G9"/>
  <c r="G10"/>
  <c r="G11"/>
  <c r="G12"/>
  <c r="G13"/>
  <c r="G14"/>
  <c r="G16"/>
  <c r="G17"/>
  <c r="G18"/>
  <c r="G19"/>
  <c r="G20"/>
  <c r="G21"/>
  <c r="G22"/>
  <c r="G23"/>
  <c r="G24"/>
  <c r="I6"/>
  <c r="I7"/>
  <c r="I8"/>
  <c r="I9"/>
  <c r="I10"/>
  <c r="I11"/>
  <c r="I12"/>
  <c r="I13"/>
  <c r="I14"/>
  <c r="I16"/>
  <c r="I17"/>
  <c r="I18"/>
  <c r="I19"/>
  <c r="I20"/>
  <c r="I21"/>
  <c r="I22"/>
  <c r="I23"/>
  <c r="I24"/>
  <c r="O24" s="1"/>
  <c r="K6"/>
  <c r="K8"/>
  <c r="K9"/>
  <c r="K10"/>
  <c r="K11"/>
  <c r="K12"/>
  <c r="K13"/>
  <c r="R13" s="1"/>
  <c r="K14"/>
  <c r="K16"/>
  <c r="G16" i="7" s="1"/>
  <c r="K17" i="1"/>
  <c r="K18"/>
  <c r="K19"/>
  <c r="K20"/>
  <c r="K21"/>
  <c r="K22"/>
  <c r="K23"/>
  <c r="K24"/>
  <c r="M6"/>
  <c r="M7"/>
  <c r="M8"/>
  <c r="M9"/>
  <c r="M10"/>
  <c r="M11"/>
  <c r="M12"/>
  <c r="M13"/>
  <c r="M14"/>
  <c r="M16"/>
  <c r="M17"/>
  <c r="M18"/>
  <c r="M19"/>
  <c r="M20"/>
  <c r="M21"/>
  <c r="M22"/>
  <c r="M23"/>
  <c r="M24"/>
  <c r="M5"/>
  <c r="K5"/>
  <c r="P5" s="1"/>
  <c r="I5"/>
  <c r="G5"/>
  <c r="E5"/>
  <c r="N24" i="4"/>
  <c r="N23"/>
  <c r="N22"/>
  <c r="N21"/>
  <c r="O21"/>
  <c r="N20"/>
  <c r="N19"/>
  <c r="N18"/>
  <c r="N17"/>
  <c r="N16"/>
  <c r="N14"/>
  <c r="N13"/>
  <c r="N12"/>
  <c r="N11"/>
  <c r="N10"/>
  <c r="N9"/>
  <c r="N8"/>
  <c r="N7"/>
  <c r="N6"/>
  <c r="N5"/>
  <c r="N24" i="3"/>
  <c r="N23"/>
  <c r="N22"/>
  <c r="N21"/>
  <c r="N20"/>
  <c r="N19"/>
  <c r="N18"/>
  <c r="N17"/>
  <c r="N16"/>
  <c r="N14"/>
  <c r="N13"/>
  <c r="N12"/>
  <c r="N11"/>
  <c r="N10"/>
  <c r="N9"/>
  <c r="N8"/>
  <c r="N7"/>
  <c r="N6"/>
  <c r="N5"/>
  <c r="O17" i="1"/>
  <c r="O21"/>
  <c r="N24"/>
  <c r="N6"/>
  <c r="N7"/>
  <c r="N8"/>
  <c r="N9"/>
  <c r="N10"/>
  <c r="N11"/>
  <c r="N12"/>
  <c r="N13"/>
  <c r="N14"/>
  <c r="N16"/>
  <c r="N17"/>
  <c r="N18"/>
  <c r="N19"/>
  <c r="N20"/>
  <c r="N21"/>
  <c r="N22"/>
  <c r="N23"/>
  <c r="N5"/>
  <c r="C5" i="2"/>
  <c r="C6"/>
  <c r="C7"/>
  <c r="C8"/>
  <c r="C4"/>
  <c r="C11"/>
  <c r="C20"/>
  <c r="C22"/>
  <c r="C21"/>
  <c r="C19"/>
  <c r="C18"/>
  <c r="C15"/>
  <c r="C14"/>
  <c r="C13"/>
  <c r="C12"/>
  <c r="G23" i="7" l="1"/>
  <c r="G22"/>
  <c r="G19"/>
  <c r="I19" s="1"/>
  <c r="G18"/>
  <c r="I18" s="1"/>
  <c r="G12"/>
  <c r="I12" s="1"/>
  <c r="Q13" i="1"/>
  <c r="G13" i="7"/>
  <c r="R9" i="1"/>
  <c r="G9" i="7"/>
  <c r="K9" s="1"/>
  <c r="G8"/>
  <c r="K8" s="1"/>
  <c r="R5" i="1"/>
  <c r="G5" i="7"/>
  <c r="Q5" i="1"/>
  <c r="G24" i="7"/>
  <c r="G7"/>
  <c r="G17"/>
  <c r="I17" s="1"/>
  <c r="G10"/>
  <c r="K10" s="1"/>
  <c r="O10" i="4"/>
  <c r="H5" i="7"/>
  <c r="L5" s="1"/>
  <c r="G6"/>
  <c r="F8"/>
  <c r="I21"/>
  <c r="O24" i="3"/>
  <c r="F10" i="7"/>
  <c r="H6"/>
  <c r="F22"/>
  <c r="I22" s="1"/>
  <c r="F20"/>
  <c r="O17" i="4"/>
  <c r="O16"/>
  <c r="F16" i="7"/>
  <c r="I16" s="1"/>
  <c r="O13" i="4"/>
  <c r="F13" i="7"/>
  <c r="F12"/>
  <c r="O12" i="4"/>
  <c r="F7" i="7"/>
  <c r="F6"/>
  <c r="L6" s="1"/>
  <c r="F5"/>
  <c r="F24"/>
  <c r="I24" s="1"/>
  <c r="F23"/>
  <c r="I23" s="1"/>
  <c r="F18"/>
  <c r="F11"/>
  <c r="L11" s="1"/>
  <c r="I14"/>
  <c r="I13"/>
  <c r="F9"/>
  <c r="C24" i="2"/>
  <c r="I20" i="7"/>
  <c r="I5"/>
  <c r="L14"/>
  <c r="L13"/>
  <c r="L10"/>
  <c r="K6"/>
  <c r="K14"/>
  <c r="O6" i="4"/>
  <c r="O8"/>
  <c r="O24"/>
  <c r="O20"/>
  <c r="O19"/>
  <c r="O7"/>
  <c r="O23"/>
  <c r="O11"/>
  <c r="O22"/>
  <c r="O18"/>
  <c r="O9"/>
  <c r="O5"/>
  <c r="O21" i="3"/>
  <c r="O13"/>
  <c r="R8" i="1"/>
  <c r="O12"/>
  <c r="O8"/>
  <c r="O7"/>
  <c r="O11"/>
  <c r="O5"/>
  <c r="O22" i="3"/>
  <c r="O12"/>
  <c r="O23"/>
  <c r="O18"/>
  <c r="O19"/>
  <c r="O17"/>
  <c r="O16"/>
  <c r="O11"/>
  <c r="O20"/>
  <c r="O5"/>
  <c r="O14"/>
  <c r="O10"/>
  <c r="O9"/>
  <c r="O6"/>
  <c r="O8"/>
  <c r="O7"/>
  <c r="O16" i="1"/>
  <c r="O20"/>
  <c r="O22"/>
  <c r="O18"/>
  <c r="O13"/>
  <c r="O14"/>
  <c r="O6"/>
  <c r="O10"/>
  <c r="O23"/>
  <c r="Q8"/>
  <c r="Q12"/>
  <c r="O9"/>
  <c r="O19"/>
  <c r="Q9"/>
  <c r="R12"/>
  <c r="R11"/>
  <c r="R7"/>
  <c r="R14"/>
  <c r="R6"/>
  <c r="R10"/>
  <c r="Q14"/>
  <c r="Q10"/>
  <c r="Q6"/>
  <c r="Q11"/>
  <c r="Q7"/>
  <c r="C3" i="2"/>
  <c r="C17"/>
  <c r="C10"/>
  <c r="L12" i="7" l="1"/>
  <c r="K12"/>
  <c r="K13"/>
  <c r="I10"/>
  <c r="I9"/>
  <c r="I8"/>
  <c r="L8"/>
  <c r="I7"/>
  <c r="K5"/>
  <c r="J5"/>
  <c r="I6"/>
  <c r="L7"/>
  <c r="K7"/>
  <c r="L9"/>
  <c r="K11"/>
  <c r="I11"/>
</calcChain>
</file>

<file path=xl/sharedStrings.xml><?xml version="1.0" encoding="utf-8"?>
<sst xmlns="http://schemas.openxmlformats.org/spreadsheetml/2006/main" count="256" uniqueCount="67">
  <si>
    <t>India</t>
  </si>
  <si>
    <t>Sachin</t>
  </si>
  <si>
    <t>Sehwag</t>
  </si>
  <si>
    <t>Gambhir</t>
  </si>
  <si>
    <t>Viraat</t>
  </si>
  <si>
    <t>Dhoni</t>
  </si>
  <si>
    <t>Harbhajan</t>
  </si>
  <si>
    <t>Rohit</t>
  </si>
  <si>
    <t>Raina</t>
  </si>
  <si>
    <t>Zaheer</t>
  </si>
  <si>
    <t>Praveen</t>
  </si>
  <si>
    <t>South Africa</t>
  </si>
  <si>
    <t>Amla</t>
  </si>
  <si>
    <t>Smith</t>
  </si>
  <si>
    <t>Kallis</t>
  </si>
  <si>
    <t>Deviliers</t>
  </si>
  <si>
    <t>Duminy</t>
  </si>
  <si>
    <t>Boucher</t>
  </si>
  <si>
    <t>Steyn</t>
  </si>
  <si>
    <t>Morkel</t>
  </si>
  <si>
    <t>Parnell</t>
  </si>
  <si>
    <t>Match</t>
  </si>
  <si>
    <t>Total Points</t>
  </si>
  <si>
    <t>Player</t>
  </si>
  <si>
    <t>Team</t>
  </si>
  <si>
    <t>Run</t>
  </si>
  <si>
    <t>Point</t>
  </si>
  <si>
    <t>Total Runs</t>
  </si>
  <si>
    <t>Wicket</t>
  </si>
  <si>
    <t>Total Wickets</t>
  </si>
  <si>
    <t>1 Run</t>
  </si>
  <si>
    <t>50 Run</t>
  </si>
  <si>
    <t>100 Run</t>
  </si>
  <si>
    <t>150 Run</t>
  </si>
  <si>
    <t>200 Run</t>
  </si>
  <si>
    <t>Bonus</t>
  </si>
  <si>
    <t>Rules</t>
  </si>
  <si>
    <t>1 Wicket</t>
  </si>
  <si>
    <t>4 Wicket</t>
  </si>
  <si>
    <t>5 or more wicket</t>
  </si>
  <si>
    <t>Points</t>
  </si>
  <si>
    <t>3 Wicket</t>
  </si>
  <si>
    <t>Ct + Ro + St</t>
  </si>
  <si>
    <t>Total Ct + Ro + St</t>
  </si>
  <si>
    <t>1 Ct + Ro + St</t>
  </si>
  <si>
    <t>Date</t>
  </si>
  <si>
    <t>Player1</t>
  </si>
  <si>
    <t>Player2</t>
  </si>
  <si>
    <t>Player3</t>
  </si>
  <si>
    <t>Player4</t>
  </si>
  <si>
    <t>Player5</t>
  </si>
  <si>
    <t>Total</t>
  </si>
  <si>
    <t>Cost</t>
  </si>
  <si>
    <t>Enter Parameters to Process the Calculation</t>
  </si>
  <si>
    <t>TeamX</t>
  </si>
  <si>
    <t>TeamY</t>
  </si>
  <si>
    <t>TeamZ</t>
  </si>
  <si>
    <t>Team Size</t>
  </si>
  <si>
    <t>Number of Teams</t>
  </si>
  <si>
    <t>Sam</t>
  </si>
  <si>
    <t>Score</t>
  </si>
  <si>
    <t>From</t>
  </si>
  <si>
    <t>To</t>
  </si>
  <si>
    <t>Substitutions</t>
  </si>
  <si>
    <t>1 Substitution</t>
  </si>
  <si>
    <t>Points Deduction</t>
  </si>
  <si>
    <t>Points Earned</t>
  </si>
</sst>
</file>

<file path=xl/styles.xml><?xml version="1.0" encoding="utf-8"?>
<styleSheet xmlns="http://schemas.openxmlformats.org/spreadsheetml/2006/main">
  <numFmts count="1">
    <numFmt numFmtId="164" formatCode="[$-409]d\-mmm\-yy;@"/>
  </numFmts>
  <fonts count="5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2" borderId="1" xfId="0" applyFill="1" applyBorder="1"/>
    <xf numFmtId="0" fontId="0" fillId="0" borderId="1" xfId="0" applyBorder="1"/>
    <xf numFmtId="0" fontId="0" fillId="0" borderId="0" xfId="0" applyProtection="1"/>
    <xf numFmtId="0" fontId="0" fillId="3" borderId="1" xfId="0" applyFill="1" applyBorder="1" applyProtection="1"/>
    <xf numFmtId="0" fontId="2" fillId="4" borderId="0" xfId="0" applyFont="1" applyFill="1"/>
    <xf numFmtId="0" fontId="2" fillId="4" borderId="1" xfId="0" applyFont="1" applyFill="1" applyBorder="1"/>
    <xf numFmtId="0" fontId="2" fillId="4" borderId="0" xfId="0" applyFont="1" applyFill="1" applyAlignment="1">
      <alignment horizontal="center"/>
    </xf>
    <xf numFmtId="15" fontId="0" fillId="5" borderId="2" xfId="0" applyNumberFormat="1" applyFill="1" applyBorder="1" applyAlignment="1">
      <alignment horizontal="center"/>
    </xf>
    <xf numFmtId="0" fontId="0" fillId="6" borderId="1" xfId="0" applyFill="1" applyBorder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/>
    <xf numFmtId="15" fontId="0" fillId="5" borderId="2" xfId="0" applyNumberFormat="1" applyFill="1" applyBorder="1" applyAlignment="1">
      <alignment horizontal="center"/>
    </xf>
    <xf numFmtId="164" fontId="0" fillId="0" borderId="0" xfId="0" applyNumberFormat="1"/>
    <xf numFmtId="164" fontId="0" fillId="7" borderId="1" xfId="0" applyNumberFormat="1" applyFill="1" applyBorder="1"/>
    <xf numFmtId="0" fontId="0" fillId="7" borderId="1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0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0" fillId="0" borderId="21" xfId="0" applyBorder="1"/>
    <xf numFmtId="0" fontId="0" fillId="3" borderId="21" xfId="0" applyFill="1" applyBorder="1" applyProtection="1"/>
    <xf numFmtId="0" fontId="3" fillId="9" borderId="1" xfId="0" applyFont="1" applyFill="1" applyBorder="1"/>
    <xf numFmtId="0" fontId="3" fillId="9" borderId="1" xfId="0" applyFont="1" applyFill="1" applyBorder="1" applyProtection="1"/>
    <xf numFmtId="15" fontId="0" fillId="5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0" fillId="10" borderId="1" xfId="0" applyFill="1" applyBorder="1"/>
    <xf numFmtId="164" fontId="0" fillId="10" borderId="1" xfId="0" applyNumberFormat="1" applyFill="1" applyBorder="1"/>
    <xf numFmtId="0" fontId="0" fillId="0" borderId="0" xfId="0" applyAlignment="1"/>
    <xf numFmtId="0" fontId="0" fillId="0" borderId="1" xfId="0" applyBorder="1" applyAlignment="1">
      <alignment horizontal="right"/>
    </xf>
    <xf numFmtId="0" fontId="1" fillId="0" borderId="1" xfId="0" applyFont="1" applyBorder="1" applyAlignment="1">
      <alignment horizontal="right"/>
    </xf>
    <xf numFmtId="0" fontId="0" fillId="0" borderId="1" xfId="0" applyBorder="1" applyAlignment="1"/>
    <xf numFmtId="0" fontId="1" fillId="0" borderId="1" xfId="0" applyFont="1" applyBorder="1" applyAlignment="1"/>
    <xf numFmtId="0" fontId="2" fillId="4" borderId="22" xfId="0" applyFont="1" applyFill="1" applyBorder="1"/>
    <xf numFmtId="14" fontId="0" fillId="0" borderId="0" xfId="0" applyNumberFormat="1"/>
    <xf numFmtId="0" fontId="4" fillId="8" borderId="13" xfId="0" applyFont="1" applyFill="1" applyBorder="1" applyAlignment="1">
      <alignment horizontal="left"/>
    </xf>
    <xf numFmtId="0" fontId="4" fillId="8" borderId="14" xfId="0" applyFont="1" applyFill="1" applyBorder="1" applyAlignment="1">
      <alignment horizontal="left"/>
    </xf>
    <xf numFmtId="0" fontId="4" fillId="8" borderId="15" xfId="0" applyFont="1" applyFill="1" applyBorder="1" applyAlignment="1">
      <alignment horizontal="left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15" fontId="0" fillId="5" borderId="2" xfId="0" applyNumberFormat="1" applyFill="1" applyBorder="1" applyAlignment="1">
      <alignment horizontal="center"/>
    </xf>
    <xf numFmtId="15" fontId="0" fillId="5" borderId="3" xfId="0" applyNumberForma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11" xfId="0" quotePrefix="1" applyBorder="1" applyAlignment="1">
      <alignment horizontal="center"/>
    </xf>
  </cellXfs>
  <cellStyles count="1">
    <cellStyle name="Normal" xfId="0" builtinId="0"/>
  </cellStyles>
  <dxfs count="1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3333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4"/>
  <c:chart>
    <c:title>
      <c:layout>
        <c:manualLayout>
          <c:xMode val="edge"/>
          <c:yMode val="edge"/>
          <c:x val="0.90246374506216431"/>
          <c:y val="0.87227639591408701"/>
        </c:manualLayout>
      </c:layout>
    </c:title>
    <c:plotArea>
      <c:layout>
        <c:manualLayout>
          <c:layoutTarget val="inner"/>
          <c:xMode val="edge"/>
          <c:yMode val="edge"/>
          <c:x val="0.10279266969982956"/>
          <c:y val="6.7608582825451902E-2"/>
          <c:w val="0.79478164513872263"/>
          <c:h val="0.81367934968393862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TeamConfig!$F$2</c:f>
              <c:strCache>
                <c:ptCount val="1"/>
                <c:pt idx="0">
                  <c:v>Score</c:v>
                </c:pt>
              </c:strCache>
            </c:strRef>
          </c:tx>
          <c:dPt>
            <c:idx val="1"/>
            <c:spPr>
              <a:solidFill>
                <a:schemeClr val="accent1"/>
              </a:solidFill>
            </c:spPr>
          </c:dPt>
          <c:dPt>
            <c:idx val="3"/>
            <c:spPr>
              <a:solidFill>
                <a:schemeClr val="accent3">
                  <a:lumMod val="75000"/>
                </a:schemeClr>
              </a:solidFill>
            </c:spPr>
          </c:dPt>
          <c:cat>
            <c:strRef>
              <c:f>(TeamConfig!$B$3,TeamConfig!$B$10,TeamConfig!$B$17,TeamConfig!$B$24)</c:f>
              <c:strCache>
                <c:ptCount val="4"/>
                <c:pt idx="0">
                  <c:v>TeamX</c:v>
                </c:pt>
                <c:pt idx="1">
                  <c:v>TeamY</c:v>
                </c:pt>
                <c:pt idx="2">
                  <c:v>TeamZ</c:v>
                </c:pt>
                <c:pt idx="3">
                  <c:v>Sam</c:v>
                </c:pt>
              </c:strCache>
            </c:strRef>
          </c:cat>
          <c:val>
            <c:numRef>
              <c:f>(TeamConfig!$F$3,TeamConfig!$F$10,TeamConfig!$F$17,TeamConfig!$F$24)</c:f>
              <c:numCache>
                <c:formatCode>General</c:formatCode>
                <c:ptCount val="4"/>
                <c:pt idx="0">
                  <c:v>371</c:v>
                </c:pt>
                <c:pt idx="1">
                  <c:v>169</c:v>
                </c:pt>
                <c:pt idx="2">
                  <c:v>85</c:v>
                </c:pt>
                <c:pt idx="3">
                  <c:v>402</c:v>
                </c:pt>
              </c:numCache>
            </c:numRef>
          </c:val>
        </c:ser>
        <c:axId val="103723008"/>
        <c:axId val="103724544"/>
      </c:barChart>
      <c:catAx>
        <c:axId val="103723008"/>
        <c:scaling>
          <c:orientation val="minMax"/>
        </c:scaling>
        <c:axPos val="b"/>
        <c:minorTickMark val="out"/>
        <c:tickLblPos val="nextTo"/>
        <c:crossAx val="103724544"/>
        <c:crosses val="autoZero"/>
        <c:auto val="1"/>
        <c:lblAlgn val="ctr"/>
        <c:lblOffset val="100"/>
      </c:catAx>
      <c:valAx>
        <c:axId val="103724544"/>
        <c:scaling>
          <c:orientation val="minMax"/>
        </c:scaling>
        <c:axPos val="l"/>
        <c:majorGridlines/>
        <c:numFmt formatCode="General" sourceLinked="1"/>
        <c:tickLblPos val="nextTo"/>
        <c:crossAx val="103723008"/>
        <c:crossesAt val="1"/>
        <c:crossBetween val="between"/>
      </c:valAx>
    </c:plotArea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409575</xdr:colOff>
      <xdr:row>9</xdr:row>
      <xdr:rowOff>38100</xdr:rowOff>
    </xdr:from>
    <xdr:to>
      <xdr:col>6</xdr:col>
      <xdr:colOff>152400</xdr:colOff>
      <xdr:row>11</xdr:row>
      <xdr:rowOff>104775</xdr:rowOff>
    </xdr:to>
    <xdr:sp macro="[0]!calculate" textlink="">
      <xdr:nvSpPr>
        <xdr:cNvPr id="3" name="Rounded Rectangle 2"/>
        <xdr:cNvSpPr/>
      </xdr:nvSpPr>
      <xdr:spPr>
        <a:xfrm>
          <a:off x="3648075" y="1771650"/>
          <a:ext cx="96202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Calculate</a:t>
          </a:r>
        </a:p>
      </xdr:txBody>
    </xdr:sp>
    <xdr:clientData/>
  </xdr:twoCellAnchor>
  <xdr:twoCellAnchor>
    <xdr:from>
      <xdr:col>7</xdr:col>
      <xdr:colOff>495300</xdr:colOff>
      <xdr:row>0</xdr:row>
      <xdr:rowOff>123825</xdr:rowOff>
    </xdr:from>
    <xdr:to>
      <xdr:col>18</xdr:col>
      <xdr:colOff>114300</xdr:colOff>
      <xdr:row>22</xdr:row>
      <xdr:rowOff>28575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B6:G14"/>
  <sheetViews>
    <sheetView workbookViewId="0">
      <selection activeCell="E22" sqref="E22"/>
    </sheetView>
  </sheetViews>
  <sheetFormatPr defaultRowHeight="15"/>
  <cols>
    <col min="1" max="1" width="4.85546875" customWidth="1"/>
    <col min="2" max="2" width="6.42578125" customWidth="1"/>
    <col min="3" max="3" width="21.140625" customWidth="1"/>
    <col min="4" max="4" width="16.140625" customWidth="1"/>
    <col min="7" max="7" width="9" customWidth="1"/>
  </cols>
  <sheetData>
    <row r="6" spans="2:7" ht="15.75" thickBot="1"/>
    <row r="7" spans="2:7" ht="15.75" thickBot="1">
      <c r="B7" s="50" t="s">
        <v>53</v>
      </c>
      <c r="C7" s="51"/>
      <c r="D7" s="51"/>
      <c r="E7" s="51"/>
      <c r="F7" s="51"/>
      <c r="G7" s="52"/>
    </row>
    <row r="8" spans="2:7">
      <c r="B8" s="26"/>
      <c r="C8" s="27"/>
      <c r="D8" s="27"/>
      <c r="E8" s="27"/>
      <c r="F8" s="27"/>
      <c r="G8" s="28"/>
    </row>
    <row r="9" spans="2:7">
      <c r="B9" s="29"/>
      <c r="C9" s="30" t="s">
        <v>45</v>
      </c>
      <c r="D9" s="42">
        <v>40562</v>
      </c>
      <c r="E9" s="30"/>
      <c r="F9" s="30"/>
      <c r="G9" s="31"/>
    </row>
    <row r="10" spans="2:7">
      <c r="B10" s="29"/>
      <c r="C10" s="30"/>
      <c r="D10" s="30"/>
      <c r="E10" s="30"/>
      <c r="F10" s="30"/>
      <c r="G10" s="31"/>
    </row>
    <row r="11" spans="2:7">
      <c r="B11" s="29"/>
      <c r="C11" s="30" t="s">
        <v>58</v>
      </c>
      <c r="D11" s="41">
        <v>4</v>
      </c>
      <c r="E11" s="30"/>
      <c r="F11" s="30"/>
      <c r="G11" s="31"/>
    </row>
    <row r="12" spans="2:7">
      <c r="B12" s="29"/>
      <c r="C12" s="30"/>
      <c r="D12" s="30"/>
      <c r="E12" s="30"/>
      <c r="F12" s="30"/>
      <c r="G12" s="31"/>
    </row>
    <row r="13" spans="2:7">
      <c r="B13" s="29"/>
      <c r="C13" s="30" t="s">
        <v>57</v>
      </c>
      <c r="D13" s="41">
        <v>5</v>
      </c>
      <c r="E13" s="30"/>
      <c r="F13" s="30"/>
      <c r="G13" s="31"/>
    </row>
    <row r="14" spans="2:7" ht="15.75" thickBot="1">
      <c r="B14" s="32"/>
      <c r="C14" s="33"/>
      <c r="D14" s="33"/>
      <c r="E14" s="33"/>
      <c r="F14" s="33"/>
      <c r="G14" s="34"/>
    </row>
  </sheetData>
  <mergeCells count="1">
    <mergeCell ref="B7:G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00B050"/>
  </sheetPr>
  <dimension ref="B2:Q29"/>
  <sheetViews>
    <sheetView tabSelected="1" topLeftCell="A2" workbookViewId="0">
      <selection activeCell="L13" sqref="L13"/>
    </sheetView>
  </sheetViews>
  <sheetFormatPr defaultRowHeight="15" outlineLevelRow="1"/>
  <cols>
    <col min="2" max="3" width="10" bestFit="1" customWidth="1"/>
    <col min="4" max="4" width="13.28515625" bestFit="1" customWidth="1"/>
    <col min="5" max="5" width="12.7109375" bestFit="1" customWidth="1"/>
    <col min="14" max="14" width="13.42578125" bestFit="1" customWidth="1"/>
    <col min="16" max="16" width="16.28515625" bestFit="1" customWidth="1"/>
  </cols>
  <sheetData>
    <row r="2" spans="2:17">
      <c r="B2" s="8" t="s">
        <v>24</v>
      </c>
      <c r="C2" s="8" t="s">
        <v>52</v>
      </c>
      <c r="D2" s="8" t="s">
        <v>66</v>
      </c>
      <c r="E2" s="48" t="s">
        <v>63</v>
      </c>
      <c r="F2" s="48" t="s">
        <v>60</v>
      </c>
      <c r="J2" s="43"/>
      <c r="K2" s="43"/>
      <c r="L2" s="43"/>
      <c r="M2" s="43"/>
      <c r="N2" s="43"/>
      <c r="O2" s="43"/>
      <c r="P2" s="43"/>
      <c r="Q2" s="43"/>
    </row>
    <row r="3" spans="2:17" ht="15.75" thickBot="1">
      <c r="B3" s="37" t="s">
        <v>54</v>
      </c>
      <c r="C3" s="38">
        <f>IF(SUM(C4:C8)&gt;50,ERROR.TYPE(10),SUM(C4:C8))</f>
        <v>48</v>
      </c>
      <c r="D3" s="38">
        <f>TotalTeamScore!G2</f>
        <v>371</v>
      </c>
      <c r="E3" s="38">
        <f>COUNTIF(SubstitutionLog!A:A,B3)</f>
        <v>0</v>
      </c>
      <c r="F3" s="38">
        <f>D3-(E3*$O$5)</f>
        <v>371</v>
      </c>
      <c r="J3" s="43"/>
      <c r="K3" s="43"/>
      <c r="L3" s="43"/>
      <c r="M3" s="43"/>
      <c r="N3" s="43"/>
      <c r="O3" s="43"/>
      <c r="P3" s="43"/>
      <c r="Q3" s="43"/>
    </row>
    <row r="4" spans="2:17" ht="15" customHeight="1" outlineLevel="1">
      <c r="B4" s="35" t="s">
        <v>4</v>
      </c>
      <c r="C4" s="36">
        <f>VLOOKUP(B4,Universal,2,FALSE)</f>
        <v>8</v>
      </c>
      <c r="J4" s="43"/>
      <c r="K4" s="43"/>
      <c r="L4" s="43"/>
      <c r="M4" s="43"/>
      <c r="N4" s="53" t="s">
        <v>36</v>
      </c>
      <c r="O4" s="54"/>
      <c r="P4" s="55"/>
      <c r="Q4" s="43"/>
    </row>
    <row r="5" spans="2:17" ht="15" customHeight="1" outlineLevel="1" thickBot="1">
      <c r="B5" s="4" t="s">
        <v>17</v>
      </c>
      <c r="C5" s="6">
        <f>VLOOKUP(B5,Universal,2,FALSE)</f>
        <v>8</v>
      </c>
      <c r="J5" s="43"/>
      <c r="K5" s="43"/>
      <c r="L5" s="43"/>
      <c r="M5" s="43"/>
      <c r="N5" s="16" t="s">
        <v>64</v>
      </c>
      <c r="O5" s="60">
        <v>100</v>
      </c>
      <c r="P5" s="18" t="s">
        <v>65</v>
      </c>
      <c r="Q5" s="43"/>
    </row>
    <row r="6" spans="2:17" ht="15" customHeight="1" outlineLevel="1">
      <c r="B6" s="4" t="s">
        <v>19</v>
      </c>
      <c r="C6" s="6">
        <f>VLOOKUP(B6,Universal,2,FALSE)</f>
        <v>16</v>
      </c>
      <c r="J6" s="43"/>
      <c r="K6" s="43"/>
      <c r="L6" s="43"/>
      <c r="M6" s="43"/>
      <c r="N6" s="43"/>
      <c r="O6" s="43"/>
      <c r="P6" s="43"/>
      <c r="Q6" s="43"/>
    </row>
    <row r="7" spans="2:17" ht="15" customHeight="1" outlineLevel="1">
      <c r="B7" s="4" t="s">
        <v>9</v>
      </c>
      <c r="C7" s="6">
        <f>VLOOKUP(B7,Universal,2,FALSE)</f>
        <v>10</v>
      </c>
      <c r="J7" s="43"/>
      <c r="K7" s="43"/>
      <c r="L7" s="43"/>
      <c r="M7" s="43"/>
      <c r="N7" s="43"/>
      <c r="O7" s="43"/>
      <c r="P7" s="43"/>
      <c r="Q7" s="43"/>
    </row>
    <row r="8" spans="2:17" ht="15" customHeight="1" outlineLevel="1">
      <c r="B8" s="4" t="s">
        <v>10</v>
      </c>
      <c r="C8" s="6">
        <f>VLOOKUP(B8,Universal,2,FALSE)</f>
        <v>6</v>
      </c>
      <c r="J8" s="43"/>
      <c r="K8" s="43"/>
      <c r="L8" s="43"/>
      <c r="M8" s="43"/>
      <c r="N8" s="43"/>
      <c r="O8" s="43"/>
      <c r="P8" s="43"/>
      <c r="Q8" s="43"/>
    </row>
    <row r="9" spans="2:17">
      <c r="C9" s="5"/>
      <c r="J9" s="43"/>
      <c r="K9" s="43"/>
      <c r="L9" s="43"/>
      <c r="M9" s="43"/>
      <c r="N9" s="43"/>
      <c r="O9" s="43"/>
      <c r="P9" s="43"/>
      <c r="Q9" s="43"/>
    </row>
    <row r="10" spans="2:17">
      <c r="B10" s="37" t="s">
        <v>55</v>
      </c>
      <c r="C10" s="38">
        <f>IF(SUM(C11:C15)&gt;50,ERROR.TYPE(10),SUM(C11:C15))</f>
        <v>43</v>
      </c>
      <c r="D10" s="38">
        <f>TotalTeamScore!G3</f>
        <v>269</v>
      </c>
      <c r="E10" s="38">
        <f>COUNTIF(SubstitutionLog!A:A,B10)</f>
        <v>1</v>
      </c>
      <c r="F10" s="38">
        <f>D10-(E10*$O$5)</f>
        <v>169</v>
      </c>
      <c r="J10" s="43"/>
      <c r="K10" s="43"/>
      <c r="L10" s="43"/>
      <c r="M10" s="43"/>
      <c r="N10" s="43"/>
      <c r="O10" s="43"/>
      <c r="P10" s="43"/>
      <c r="Q10" s="43"/>
    </row>
    <row r="11" spans="2:17" ht="15" customHeight="1" outlineLevel="1">
      <c r="B11" s="35" t="s">
        <v>10</v>
      </c>
      <c r="C11" s="36">
        <f>VLOOKUP(B11,Universal,2,FALSE)</f>
        <v>6</v>
      </c>
      <c r="J11" s="43"/>
      <c r="K11" s="43"/>
      <c r="L11" s="43"/>
      <c r="M11" s="43"/>
      <c r="N11" s="43"/>
      <c r="O11" s="43"/>
      <c r="P11" s="43"/>
      <c r="Q11" s="43"/>
    </row>
    <row r="12" spans="2:17" ht="15" customHeight="1" outlineLevel="1">
      <c r="B12" s="4" t="s">
        <v>17</v>
      </c>
      <c r="C12" s="6">
        <f>VLOOKUP(B12,Universal,2,FALSE)</f>
        <v>8</v>
      </c>
      <c r="J12" s="43"/>
      <c r="K12" s="43"/>
      <c r="L12" s="43"/>
      <c r="M12" s="43"/>
      <c r="N12" s="43"/>
      <c r="O12" s="43"/>
      <c r="P12" s="43"/>
      <c r="Q12" s="43"/>
    </row>
    <row r="13" spans="2:17" ht="15" customHeight="1" outlineLevel="1">
      <c r="B13" s="4" t="s">
        <v>4</v>
      </c>
      <c r="C13" s="6">
        <f>VLOOKUP(B13,Universal,2,FALSE)</f>
        <v>8</v>
      </c>
      <c r="J13" s="43"/>
      <c r="K13" s="43"/>
      <c r="L13" s="43"/>
      <c r="M13" s="43"/>
      <c r="N13" s="43"/>
      <c r="O13" s="43"/>
      <c r="P13" s="43"/>
      <c r="Q13" s="43"/>
    </row>
    <row r="14" spans="2:17" ht="15" customHeight="1" outlineLevel="1">
      <c r="B14" s="4" t="s">
        <v>6</v>
      </c>
      <c r="C14" s="6">
        <f>VLOOKUP(B14,Universal,2,FALSE)</f>
        <v>12</v>
      </c>
      <c r="J14" s="43"/>
      <c r="K14" s="43"/>
      <c r="L14" s="43"/>
      <c r="M14" s="43"/>
      <c r="N14" s="43"/>
      <c r="O14" s="43"/>
      <c r="P14" s="43"/>
      <c r="Q14" s="43"/>
    </row>
    <row r="15" spans="2:17" ht="15" customHeight="1" outlineLevel="1">
      <c r="B15" s="4" t="s">
        <v>7</v>
      </c>
      <c r="C15" s="6">
        <f>VLOOKUP(B15,Universal,2,FALSE)</f>
        <v>9</v>
      </c>
      <c r="J15" s="43"/>
      <c r="K15" s="43"/>
      <c r="L15" s="43"/>
      <c r="M15" s="43"/>
      <c r="N15" s="43"/>
      <c r="O15" s="43"/>
      <c r="P15" s="43"/>
      <c r="Q15" s="43"/>
    </row>
    <row r="16" spans="2:17">
      <c r="C16" s="5"/>
      <c r="J16" s="43"/>
      <c r="K16" s="43"/>
      <c r="L16" s="43"/>
      <c r="M16" s="43"/>
      <c r="N16" s="43"/>
      <c r="O16" s="43"/>
      <c r="P16" s="43"/>
      <c r="Q16" s="43"/>
    </row>
    <row r="17" spans="2:17">
      <c r="B17" s="37" t="s">
        <v>56</v>
      </c>
      <c r="C17" s="38">
        <f>IF(SUM(C18:C22)&gt;50,ERROR.TYPE(10),SUM(C18:C22))</f>
        <v>42</v>
      </c>
      <c r="D17" s="38">
        <f>TotalTeamScore!G4</f>
        <v>285</v>
      </c>
      <c r="E17" s="38">
        <f>COUNTIF(SubstitutionLog!A:A,B17)</f>
        <v>2</v>
      </c>
      <c r="F17" s="38">
        <f>D17-(E17*$O$5)</f>
        <v>85</v>
      </c>
      <c r="J17" s="43"/>
      <c r="K17" s="43"/>
      <c r="L17" s="43"/>
      <c r="M17" s="43"/>
      <c r="N17" s="43"/>
      <c r="O17" s="43"/>
      <c r="P17" s="43"/>
      <c r="Q17" s="43"/>
    </row>
    <row r="18" spans="2:17" ht="15" customHeight="1" outlineLevel="1">
      <c r="B18" s="35" t="s">
        <v>7</v>
      </c>
      <c r="C18" s="36">
        <f>VLOOKUP(B18,Universal,2,FALSE)</f>
        <v>9</v>
      </c>
      <c r="J18" s="43"/>
      <c r="K18" s="43"/>
      <c r="L18" s="43"/>
      <c r="M18" s="43"/>
      <c r="N18" s="43"/>
      <c r="O18" s="43"/>
      <c r="P18" s="43"/>
      <c r="Q18" s="43"/>
    </row>
    <row r="19" spans="2:17" ht="15" customHeight="1" outlineLevel="1">
      <c r="B19" s="4" t="s">
        <v>10</v>
      </c>
      <c r="C19" s="6">
        <f>VLOOKUP(B19,Universal,2,FALSE)</f>
        <v>6</v>
      </c>
      <c r="J19" s="43"/>
      <c r="K19" s="43"/>
      <c r="L19" s="43"/>
      <c r="M19" s="43"/>
      <c r="N19" s="43"/>
      <c r="O19" s="43"/>
      <c r="P19" s="43"/>
      <c r="Q19" s="43"/>
    </row>
    <row r="20" spans="2:17" ht="15" customHeight="1" outlineLevel="1">
      <c r="B20" s="4" t="s">
        <v>17</v>
      </c>
      <c r="C20" s="6">
        <f>VLOOKUP(B20,Universal,2,FALSE)</f>
        <v>8</v>
      </c>
      <c r="J20" s="43"/>
      <c r="K20" s="43"/>
      <c r="L20" s="43"/>
      <c r="M20" s="43"/>
      <c r="N20" s="43"/>
      <c r="O20" s="43"/>
      <c r="P20" s="43"/>
      <c r="Q20" s="43"/>
    </row>
    <row r="21" spans="2:17" ht="15" customHeight="1" outlineLevel="1">
      <c r="B21" s="4" t="s">
        <v>16</v>
      </c>
      <c r="C21" s="6">
        <f>VLOOKUP(B21,Universal,2,FALSE)</f>
        <v>12</v>
      </c>
      <c r="J21" s="43"/>
      <c r="K21" s="43"/>
      <c r="L21" s="43"/>
      <c r="M21" s="43"/>
      <c r="N21" s="43"/>
      <c r="O21" s="43"/>
      <c r="P21" s="43"/>
      <c r="Q21" s="43"/>
    </row>
    <row r="22" spans="2:17" outlineLevel="1">
      <c r="B22" s="4" t="s">
        <v>8</v>
      </c>
      <c r="C22" s="6">
        <f>VLOOKUP(B22,Universal,2,FALSE)</f>
        <v>7</v>
      </c>
    </row>
    <row r="24" spans="2:17">
      <c r="B24" s="37" t="s">
        <v>59</v>
      </c>
      <c r="C24" s="38">
        <f>IF(SUM(C25:C29)&gt;50,ERROR.TYPE(10),SUM(C25:C29))</f>
        <v>49</v>
      </c>
      <c r="D24" s="38">
        <f>TotalTeamScore!G5</f>
        <v>402</v>
      </c>
      <c r="E24" s="38">
        <f>COUNTIF(SubstitutionLog!A:A,B24)</f>
        <v>0</v>
      </c>
      <c r="F24" s="38">
        <f>D24-(E24*$O$5)</f>
        <v>402</v>
      </c>
    </row>
    <row r="25" spans="2:17" outlineLevel="1">
      <c r="B25" s="35" t="s">
        <v>4</v>
      </c>
      <c r="C25" s="36">
        <f>VLOOKUP(B25,Universal,2,FALSE)</f>
        <v>8</v>
      </c>
    </row>
    <row r="26" spans="2:17" outlineLevel="1">
      <c r="B26" s="4" t="s">
        <v>6</v>
      </c>
      <c r="C26" s="6">
        <f>VLOOKUP(B26,Universal,2,FALSE)</f>
        <v>12</v>
      </c>
    </row>
    <row r="27" spans="2:17" outlineLevel="1">
      <c r="B27" s="4" t="s">
        <v>10</v>
      </c>
      <c r="C27" s="6">
        <f>VLOOKUP(B27,Universal,2,FALSE)</f>
        <v>6</v>
      </c>
    </row>
    <row r="28" spans="2:17" outlineLevel="1">
      <c r="B28" s="4" t="s">
        <v>8</v>
      </c>
      <c r="C28" s="6">
        <f>VLOOKUP(B28,Universal,2,FALSE)</f>
        <v>7</v>
      </c>
    </row>
    <row r="29" spans="2:17" outlineLevel="1">
      <c r="B29" s="4" t="s">
        <v>19</v>
      </c>
      <c r="C29" s="6">
        <f>VLOOKUP(B29,Universal,2,FALSE)</f>
        <v>16</v>
      </c>
    </row>
  </sheetData>
  <sheetProtection formatCells="0"/>
  <mergeCells count="1">
    <mergeCell ref="N4:P4"/>
  </mergeCells>
  <conditionalFormatting sqref="C3 C10 C17">
    <cfRule type="containsErrors" dxfId="18" priority="16">
      <formula>ISERROR(C3)</formula>
    </cfRule>
  </conditionalFormatting>
  <conditionalFormatting sqref="C24">
    <cfRule type="containsErrors" dxfId="17" priority="13">
      <formula>ISERROR(C24)</formula>
    </cfRule>
  </conditionalFormatting>
  <conditionalFormatting sqref="D3">
    <cfRule type="containsErrors" dxfId="16" priority="12">
      <formula>ISERROR(D3)</formula>
    </cfRule>
  </conditionalFormatting>
  <conditionalFormatting sqref="D10">
    <cfRule type="containsErrors" dxfId="15" priority="11">
      <formula>ISERROR(D10)</formula>
    </cfRule>
  </conditionalFormatting>
  <conditionalFormatting sqref="D17">
    <cfRule type="containsErrors" dxfId="14" priority="10">
      <formula>ISERROR(D17)</formula>
    </cfRule>
  </conditionalFormatting>
  <conditionalFormatting sqref="D24">
    <cfRule type="containsErrors" dxfId="13" priority="9">
      <formula>ISERROR(D24)</formula>
    </cfRule>
  </conditionalFormatting>
  <conditionalFormatting sqref="E3">
    <cfRule type="containsErrors" dxfId="12" priority="8">
      <formula>ISERROR(E3)</formula>
    </cfRule>
  </conditionalFormatting>
  <conditionalFormatting sqref="E10">
    <cfRule type="containsErrors" dxfId="11" priority="7">
      <formula>ISERROR(E10)</formula>
    </cfRule>
  </conditionalFormatting>
  <conditionalFormatting sqref="E17">
    <cfRule type="containsErrors" dxfId="10" priority="6">
      <formula>ISERROR(E17)</formula>
    </cfRule>
  </conditionalFormatting>
  <conditionalFormatting sqref="E24">
    <cfRule type="containsErrors" dxfId="9" priority="5">
      <formula>ISERROR(E24)</formula>
    </cfRule>
  </conditionalFormatting>
  <conditionalFormatting sqref="F3">
    <cfRule type="containsErrors" dxfId="8" priority="4">
      <formula>ISERROR(F3)</formula>
    </cfRule>
  </conditionalFormatting>
  <conditionalFormatting sqref="F10">
    <cfRule type="containsErrors" dxfId="6" priority="3">
      <formula>ISERROR(F10)</formula>
    </cfRule>
  </conditionalFormatting>
  <conditionalFormatting sqref="F17">
    <cfRule type="containsErrors" dxfId="4" priority="2">
      <formula>ISERROR(F17)</formula>
    </cfRule>
  </conditionalFormatting>
  <conditionalFormatting sqref="F24">
    <cfRule type="containsErrors" dxfId="2" priority="1">
      <formula>ISERROR(F24)</formula>
    </cfRule>
  </conditionalFormatting>
  <dataValidations count="1">
    <dataValidation type="list" allowBlank="1" showInputMessage="1" showErrorMessage="1" sqref="B4:B8 B18:B22 B11:B15 B25:B29">
      <formula1>Player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rgb="FFFF0000"/>
  </sheetPr>
  <dimension ref="B2:V24"/>
  <sheetViews>
    <sheetView workbookViewId="0">
      <selection activeCell="T5" sqref="T5:V6"/>
    </sheetView>
  </sheetViews>
  <sheetFormatPr defaultRowHeight="15" outlineLevelRow="1"/>
  <cols>
    <col min="2" max="2" width="11.7109375" bestFit="1" customWidth="1"/>
    <col min="3" max="3" width="10" bestFit="1" customWidth="1"/>
    <col min="4" max="4" width="9.28515625" bestFit="1" customWidth="1"/>
    <col min="5" max="5" width="5.7109375" bestFit="1" customWidth="1"/>
    <col min="6" max="6" width="9.28515625" bestFit="1" customWidth="1"/>
    <col min="7" max="7" width="5.7109375" bestFit="1" customWidth="1"/>
    <col min="8" max="8" width="9.28515625" bestFit="1" customWidth="1"/>
    <col min="9" max="9" width="5.7109375" bestFit="1" customWidth="1"/>
    <col min="10" max="10" width="9.28515625" bestFit="1" customWidth="1"/>
    <col min="11" max="11" width="5.7109375" bestFit="1" customWidth="1"/>
    <col min="13" max="13" width="5.7109375" bestFit="1" customWidth="1"/>
    <col min="14" max="14" width="10.140625" bestFit="1" customWidth="1"/>
    <col min="15" max="15" width="11.42578125" bestFit="1" customWidth="1"/>
    <col min="16" max="16" width="0" hidden="1" customWidth="1"/>
    <col min="17" max="17" width="8.5703125" hidden="1" customWidth="1"/>
    <col min="18" max="18" width="0" hidden="1" customWidth="1"/>
    <col min="21" max="21" width="3" bestFit="1" customWidth="1"/>
  </cols>
  <sheetData>
    <row r="2" spans="2:22">
      <c r="D2" s="56" t="s">
        <v>21</v>
      </c>
      <c r="E2" s="56"/>
      <c r="F2" s="56"/>
      <c r="G2" s="56"/>
      <c r="H2" s="56"/>
      <c r="I2" s="56"/>
      <c r="J2" s="56"/>
      <c r="K2" s="56"/>
      <c r="L2" s="56"/>
      <c r="M2" s="9"/>
      <c r="N2" s="1"/>
    </row>
    <row r="3" spans="2:22">
      <c r="D3" s="57">
        <v>40562</v>
      </c>
      <c r="E3" s="58"/>
      <c r="F3" s="57">
        <v>40563</v>
      </c>
      <c r="G3" s="58"/>
      <c r="H3" s="57">
        <v>40564</v>
      </c>
      <c r="I3" s="58"/>
      <c r="J3" s="57">
        <v>40565</v>
      </c>
      <c r="K3" s="58"/>
      <c r="L3" s="57">
        <v>40566</v>
      </c>
      <c r="M3" s="58"/>
    </row>
    <row r="4" spans="2:22" ht="15.75" thickBot="1">
      <c r="B4" s="7" t="s">
        <v>0</v>
      </c>
      <c r="D4" s="11" t="s">
        <v>25</v>
      </c>
      <c r="E4" s="11" t="s">
        <v>26</v>
      </c>
      <c r="F4" s="11" t="s">
        <v>25</v>
      </c>
      <c r="G4" s="11" t="s">
        <v>26</v>
      </c>
      <c r="H4" s="11" t="s">
        <v>25</v>
      </c>
      <c r="I4" s="11" t="s">
        <v>26</v>
      </c>
      <c r="J4" s="11" t="s">
        <v>25</v>
      </c>
      <c r="K4" s="11" t="s">
        <v>26</v>
      </c>
      <c r="L4" s="11" t="s">
        <v>25</v>
      </c>
      <c r="M4" s="11" t="s">
        <v>26</v>
      </c>
      <c r="N4" s="12" t="s">
        <v>27</v>
      </c>
      <c r="O4" s="13" t="s">
        <v>22</v>
      </c>
    </row>
    <row r="5" spans="2:22" outlineLevel="1">
      <c r="C5" s="4" t="s">
        <v>1</v>
      </c>
      <c r="D5" s="44">
        <v>7</v>
      </c>
      <c r="E5" s="45">
        <f>D5*$U$6+IF(D5&gt;199,$U$10,IF(D5&gt;149,$U$9,IF(D5&gt;99,$U$8,IF(D5&gt;49,$U$7,0))))</f>
        <v>7</v>
      </c>
      <c r="F5" s="44">
        <v>52</v>
      </c>
      <c r="G5" s="45">
        <f>F5*$U$6+IF(F5&gt;199,$U$10,IF(F5&gt;149,$U$9,IF(F5&gt;99,$U$8,IF(F5&gt;49,$U$7,0))))</f>
        <v>62</v>
      </c>
      <c r="H5" s="44">
        <v>21</v>
      </c>
      <c r="I5" s="45">
        <f>H5*$U$6+IF(H5&gt;199,$U$10,IF(H5&gt;149,$U$9,IF(H5&gt;99,$U$8,IF(H5&gt;49,$U$7,0))))</f>
        <v>21</v>
      </c>
      <c r="J5" s="44">
        <v>101</v>
      </c>
      <c r="K5" s="45">
        <f>J5*$U$6+IF(J5&gt;199,$U$10,IF(J5&gt;149,$U$9,IF(J5&gt;99,$U$8,IF(J5&gt;49,$U$7,0))))</f>
        <v>121</v>
      </c>
      <c r="L5" s="44"/>
      <c r="M5" s="45">
        <f>L5*$U$6+IF(L5&gt;199,$U$10,IF(L5&gt;149,$U$9,IF(L5&gt;99,$U$8,IF(L5&gt;49,$U$7,0))))</f>
        <v>0</v>
      </c>
      <c r="N5" s="44">
        <f>SUM(D5,F5,H5,J5,L5)</f>
        <v>181</v>
      </c>
      <c r="O5" s="44">
        <f>SUM(E5,G5,I5,K5,M5)</f>
        <v>211</v>
      </c>
      <c r="P5">
        <f>SUM(D5:L5)</f>
        <v>392</v>
      </c>
      <c r="Q5" s="2">
        <f t="shared" ref="Q5:Q14" si="0">COUNTIF(D5:L5,"&gt;=50")</f>
        <v>4</v>
      </c>
      <c r="R5" s="2">
        <f>COUNTIF(D5:L5,"&gt;=100")</f>
        <v>2</v>
      </c>
      <c r="T5" s="53" t="s">
        <v>36</v>
      </c>
      <c r="U5" s="54"/>
      <c r="V5" s="55"/>
    </row>
    <row r="6" spans="2:22" outlineLevel="1">
      <c r="C6" s="4" t="s">
        <v>2</v>
      </c>
      <c r="D6" s="44">
        <v>21</v>
      </c>
      <c r="E6" s="45">
        <f t="shared" ref="E6:E24" si="1">D6*$U$6+IF(D6&gt;199,$U$10,IF(D6&gt;149,$U$9,IF(D6&gt;99,$U$8,IF(D6&gt;49,$U$7,0))))</f>
        <v>21</v>
      </c>
      <c r="F6" s="44">
        <v>7</v>
      </c>
      <c r="G6" s="45">
        <f t="shared" ref="G6:G24" si="2">F6*$U$6+IF(F6&gt;199,$U$10,IF(F6&gt;149,$U$9,IF(F6&gt;99,$U$8,IF(F6&gt;49,$U$7,0))))</f>
        <v>7</v>
      </c>
      <c r="H6" s="44">
        <v>33</v>
      </c>
      <c r="I6" s="45">
        <f t="shared" ref="I6:I24" si="3">H6*$U$6+IF(H6&gt;199,$U$10,IF(H6&gt;149,$U$9,IF(H6&gt;99,$U$8,IF(H6&gt;49,$U$7,0))))</f>
        <v>33</v>
      </c>
      <c r="J6" s="44">
        <v>11</v>
      </c>
      <c r="K6" s="45">
        <f t="shared" ref="K6:K24" si="4">J6*$U$6+IF(J6&gt;199,$U$10,IF(J6&gt;149,$U$9,IF(J6&gt;99,$U$8,IF(J6&gt;49,$U$7,0))))</f>
        <v>11</v>
      </c>
      <c r="L6" s="44"/>
      <c r="M6" s="45">
        <f t="shared" ref="M6:M24" si="5">L6*$U$6+IF(L6&gt;199,$U$10,IF(L6&gt;149,$U$9,IF(L6&gt;99,$U$8,IF(L6&gt;49,$U$7,0))))</f>
        <v>0</v>
      </c>
      <c r="N6" s="44">
        <f t="shared" ref="N6:N24" si="6">SUM(D6,F6,H6,J6,L6)</f>
        <v>72</v>
      </c>
      <c r="O6" s="44">
        <f t="shared" ref="O6:O24" si="7">SUM(E6,G6,I6,K6,M6)</f>
        <v>72</v>
      </c>
      <c r="Q6" s="2">
        <f t="shared" si="0"/>
        <v>0</v>
      </c>
      <c r="R6" s="2">
        <f t="shared" ref="R6:R14" si="8">COUNTIF(D6:L6,"&gt;=100")</f>
        <v>0</v>
      </c>
      <c r="T6" s="14" t="s">
        <v>30</v>
      </c>
      <c r="U6" s="4">
        <v>1</v>
      </c>
      <c r="V6" s="15" t="s">
        <v>26</v>
      </c>
    </row>
    <row r="7" spans="2:22" outlineLevel="1">
      <c r="C7" s="4" t="s">
        <v>3</v>
      </c>
      <c r="D7" s="44">
        <v>12</v>
      </c>
      <c r="E7" s="45">
        <f t="shared" si="1"/>
        <v>12</v>
      </c>
      <c r="F7" s="44">
        <v>43</v>
      </c>
      <c r="G7" s="45">
        <f t="shared" si="2"/>
        <v>43</v>
      </c>
      <c r="H7" s="44">
        <v>12</v>
      </c>
      <c r="I7" s="45">
        <f t="shared" si="3"/>
        <v>12</v>
      </c>
      <c r="J7" s="44">
        <v>20</v>
      </c>
      <c r="K7" s="45">
        <f t="shared" si="4"/>
        <v>20</v>
      </c>
      <c r="L7" s="44"/>
      <c r="M7" s="45">
        <f t="shared" si="5"/>
        <v>0</v>
      </c>
      <c r="N7" s="44">
        <f t="shared" si="6"/>
        <v>87</v>
      </c>
      <c r="O7" s="44">
        <f t="shared" si="7"/>
        <v>87</v>
      </c>
      <c r="Q7" s="2">
        <f t="shared" si="0"/>
        <v>0</v>
      </c>
      <c r="R7" s="2">
        <f t="shared" si="8"/>
        <v>0</v>
      </c>
      <c r="T7" s="14" t="s">
        <v>31</v>
      </c>
      <c r="U7" s="4">
        <v>10</v>
      </c>
      <c r="V7" s="15" t="s">
        <v>35</v>
      </c>
    </row>
    <row r="8" spans="2:22" outlineLevel="1">
      <c r="C8" s="4" t="s">
        <v>4</v>
      </c>
      <c r="D8" s="44">
        <v>54</v>
      </c>
      <c r="E8" s="45">
        <f t="shared" si="1"/>
        <v>64</v>
      </c>
      <c r="F8" s="44">
        <v>76</v>
      </c>
      <c r="G8" s="45">
        <f t="shared" si="2"/>
        <v>86</v>
      </c>
      <c r="H8" s="44">
        <v>42</v>
      </c>
      <c r="I8" s="45">
        <f t="shared" si="3"/>
        <v>42</v>
      </c>
      <c r="J8" s="44">
        <v>1</v>
      </c>
      <c r="K8" s="45">
        <f t="shared" si="4"/>
        <v>1</v>
      </c>
      <c r="L8" s="44"/>
      <c r="M8" s="45">
        <f t="shared" si="5"/>
        <v>0</v>
      </c>
      <c r="N8" s="44">
        <f t="shared" si="6"/>
        <v>173</v>
      </c>
      <c r="O8" s="44">
        <f t="shared" si="7"/>
        <v>193</v>
      </c>
      <c r="Q8" s="2">
        <f t="shared" si="0"/>
        <v>4</v>
      </c>
      <c r="R8" s="2">
        <f t="shared" si="8"/>
        <v>0</v>
      </c>
      <c r="T8" s="14" t="s">
        <v>32</v>
      </c>
      <c r="U8" s="4">
        <v>20</v>
      </c>
      <c r="V8" s="15" t="s">
        <v>35</v>
      </c>
    </row>
    <row r="9" spans="2:22" outlineLevel="1">
      <c r="C9" s="4" t="s">
        <v>7</v>
      </c>
      <c r="D9" s="44">
        <v>23</v>
      </c>
      <c r="E9" s="45">
        <f t="shared" si="1"/>
        <v>23</v>
      </c>
      <c r="F9" s="44">
        <v>73</v>
      </c>
      <c r="G9" s="45">
        <f t="shared" si="2"/>
        <v>83</v>
      </c>
      <c r="H9" s="44">
        <v>3</v>
      </c>
      <c r="I9" s="45">
        <f t="shared" si="3"/>
        <v>3</v>
      </c>
      <c r="J9" s="44">
        <v>1</v>
      </c>
      <c r="K9" s="45">
        <f t="shared" si="4"/>
        <v>1</v>
      </c>
      <c r="L9" s="44"/>
      <c r="M9" s="45">
        <f t="shared" si="5"/>
        <v>0</v>
      </c>
      <c r="N9" s="44">
        <f t="shared" si="6"/>
        <v>100</v>
      </c>
      <c r="O9" s="44">
        <f t="shared" si="7"/>
        <v>110</v>
      </c>
      <c r="Q9" s="2">
        <f t="shared" si="0"/>
        <v>2</v>
      </c>
      <c r="R9" s="2">
        <f t="shared" si="8"/>
        <v>0</v>
      </c>
      <c r="T9" s="14" t="s">
        <v>33</v>
      </c>
      <c r="U9" s="4">
        <v>30</v>
      </c>
      <c r="V9" s="15" t="s">
        <v>35</v>
      </c>
    </row>
    <row r="10" spans="2:22" ht="15.75" outlineLevel="1" thickBot="1">
      <c r="C10" s="4" t="s">
        <v>8</v>
      </c>
      <c r="D10" s="44">
        <v>32</v>
      </c>
      <c r="E10" s="45">
        <f t="shared" si="1"/>
        <v>32</v>
      </c>
      <c r="F10" s="44">
        <v>5</v>
      </c>
      <c r="G10" s="45">
        <f t="shared" si="2"/>
        <v>5</v>
      </c>
      <c r="H10" s="44">
        <v>24</v>
      </c>
      <c r="I10" s="45">
        <f t="shared" si="3"/>
        <v>24</v>
      </c>
      <c r="J10" s="44">
        <v>1</v>
      </c>
      <c r="K10" s="45">
        <f t="shared" si="4"/>
        <v>1</v>
      </c>
      <c r="L10" s="44"/>
      <c r="M10" s="45">
        <f t="shared" si="5"/>
        <v>0</v>
      </c>
      <c r="N10" s="44">
        <f t="shared" si="6"/>
        <v>62</v>
      </c>
      <c r="O10" s="44">
        <f t="shared" si="7"/>
        <v>62</v>
      </c>
      <c r="Q10" s="2">
        <f t="shared" si="0"/>
        <v>0</v>
      </c>
      <c r="R10" s="2">
        <f t="shared" si="8"/>
        <v>0</v>
      </c>
      <c r="T10" s="16" t="s">
        <v>34</v>
      </c>
      <c r="U10" s="17">
        <v>50</v>
      </c>
      <c r="V10" s="18" t="s">
        <v>35</v>
      </c>
    </row>
    <row r="11" spans="2:22" outlineLevel="1">
      <c r="C11" s="4" t="s">
        <v>5</v>
      </c>
      <c r="D11" s="44">
        <v>25</v>
      </c>
      <c r="E11" s="45">
        <f t="shared" si="1"/>
        <v>25</v>
      </c>
      <c r="F11" s="44">
        <v>3</v>
      </c>
      <c r="G11" s="45">
        <f t="shared" si="2"/>
        <v>3</v>
      </c>
      <c r="H11" s="44">
        <v>31</v>
      </c>
      <c r="I11" s="45">
        <f t="shared" si="3"/>
        <v>31</v>
      </c>
      <c r="J11" s="44">
        <v>1</v>
      </c>
      <c r="K11" s="45">
        <f t="shared" si="4"/>
        <v>1</v>
      </c>
      <c r="L11" s="44"/>
      <c r="M11" s="45">
        <f t="shared" si="5"/>
        <v>0</v>
      </c>
      <c r="N11" s="44">
        <f t="shared" si="6"/>
        <v>60</v>
      </c>
      <c r="O11" s="44">
        <f t="shared" si="7"/>
        <v>60</v>
      </c>
      <c r="Q11" s="2">
        <f t="shared" si="0"/>
        <v>0</v>
      </c>
      <c r="R11" s="2">
        <f t="shared" si="8"/>
        <v>0</v>
      </c>
    </row>
    <row r="12" spans="2:22" outlineLevel="1">
      <c r="C12" s="4" t="s">
        <v>6</v>
      </c>
      <c r="D12" s="44">
        <v>0</v>
      </c>
      <c r="E12" s="45">
        <f t="shared" si="1"/>
        <v>0</v>
      </c>
      <c r="F12" s="44">
        <v>9</v>
      </c>
      <c r="G12" s="45">
        <f t="shared" si="2"/>
        <v>9</v>
      </c>
      <c r="H12" s="44">
        <v>27</v>
      </c>
      <c r="I12" s="45">
        <f t="shared" si="3"/>
        <v>27</v>
      </c>
      <c r="J12" s="44">
        <v>1</v>
      </c>
      <c r="K12" s="45">
        <f t="shared" si="4"/>
        <v>1</v>
      </c>
      <c r="L12" s="44"/>
      <c r="M12" s="45">
        <f t="shared" si="5"/>
        <v>0</v>
      </c>
      <c r="N12" s="44">
        <f t="shared" si="6"/>
        <v>37</v>
      </c>
      <c r="O12" s="44">
        <f t="shared" si="7"/>
        <v>37</v>
      </c>
      <c r="Q12" s="2">
        <f t="shared" si="0"/>
        <v>0</v>
      </c>
      <c r="R12" s="2">
        <f t="shared" si="8"/>
        <v>0</v>
      </c>
    </row>
    <row r="13" spans="2:22" outlineLevel="1">
      <c r="C13" s="4" t="s">
        <v>9</v>
      </c>
      <c r="D13" s="44">
        <v>11</v>
      </c>
      <c r="E13" s="45">
        <f t="shared" si="1"/>
        <v>11</v>
      </c>
      <c r="F13" s="44">
        <v>11</v>
      </c>
      <c r="G13" s="45">
        <f t="shared" si="2"/>
        <v>11</v>
      </c>
      <c r="H13" s="44">
        <v>11</v>
      </c>
      <c r="I13" s="45">
        <f t="shared" si="3"/>
        <v>11</v>
      </c>
      <c r="J13" s="44">
        <v>1</v>
      </c>
      <c r="K13" s="45">
        <f t="shared" si="4"/>
        <v>1</v>
      </c>
      <c r="L13" s="44"/>
      <c r="M13" s="45">
        <f t="shared" si="5"/>
        <v>0</v>
      </c>
      <c r="N13" s="44">
        <f t="shared" si="6"/>
        <v>34</v>
      </c>
      <c r="O13" s="44">
        <f t="shared" si="7"/>
        <v>34</v>
      </c>
      <c r="Q13" s="2">
        <f t="shared" si="0"/>
        <v>0</v>
      </c>
      <c r="R13" s="2">
        <f t="shared" si="8"/>
        <v>0</v>
      </c>
    </row>
    <row r="14" spans="2:22" outlineLevel="1">
      <c r="C14" s="4" t="s">
        <v>10</v>
      </c>
      <c r="D14" s="44">
        <v>2</v>
      </c>
      <c r="E14" s="45">
        <f t="shared" si="1"/>
        <v>2</v>
      </c>
      <c r="F14" s="44">
        <v>21</v>
      </c>
      <c r="G14" s="45">
        <f t="shared" si="2"/>
        <v>21</v>
      </c>
      <c r="H14" s="44">
        <v>4</v>
      </c>
      <c r="I14" s="45">
        <f t="shared" si="3"/>
        <v>4</v>
      </c>
      <c r="J14" s="44">
        <v>1</v>
      </c>
      <c r="K14" s="45">
        <f t="shared" si="4"/>
        <v>1</v>
      </c>
      <c r="L14" s="44"/>
      <c r="M14" s="45">
        <f t="shared" si="5"/>
        <v>0</v>
      </c>
      <c r="N14" s="44">
        <f t="shared" si="6"/>
        <v>28</v>
      </c>
      <c r="O14" s="44">
        <f t="shared" si="7"/>
        <v>28</v>
      </c>
      <c r="Q14" s="2">
        <f t="shared" si="0"/>
        <v>0</v>
      </c>
      <c r="R14" s="2">
        <f t="shared" si="8"/>
        <v>0</v>
      </c>
    </row>
    <row r="15" spans="2:22">
      <c r="B15" s="7" t="s">
        <v>11</v>
      </c>
      <c r="C15" s="4"/>
      <c r="D15" s="44"/>
      <c r="E15" s="45"/>
      <c r="F15" s="44"/>
      <c r="G15" s="45"/>
      <c r="H15" s="44"/>
      <c r="I15" s="45"/>
      <c r="J15" s="44"/>
      <c r="K15" s="45"/>
      <c r="L15" s="44"/>
      <c r="M15" s="45"/>
      <c r="N15" s="44"/>
      <c r="O15" s="44"/>
    </row>
    <row r="16" spans="2:22" outlineLevel="1">
      <c r="C16" s="4" t="s">
        <v>12</v>
      </c>
      <c r="D16" s="44">
        <v>52</v>
      </c>
      <c r="E16" s="45">
        <f t="shared" si="1"/>
        <v>62</v>
      </c>
      <c r="F16" s="44">
        <v>76</v>
      </c>
      <c r="G16" s="45">
        <f t="shared" si="2"/>
        <v>86</v>
      </c>
      <c r="H16" s="44">
        <v>72</v>
      </c>
      <c r="I16" s="45">
        <f t="shared" si="3"/>
        <v>82</v>
      </c>
      <c r="J16" s="44">
        <v>10</v>
      </c>
      <c r="K16" s="45">
        <f t="shared" si="4"/>
        <v>10</v>
      </c>
      <c r="L16" s="44"/>
      <c r="M16" s="45">
        <f t="shared" si="5"/>
        <v>0</v>
      </c>
      <c r="N16" s="44">
        <f t="shared" si="6"/>
        <v>210</v>
      </c>
      <c r="O16" s="44">
        <f t="shared" si="7"/>
        <v>240</v>
      </c>
    </row>
    <row r="17" spans="3:15" outlineLevel="1">
      <c r="C17" s="4" t="s">
        <v>13</v>
      </c>
      <c r="D17" s="44">
        <v>7</v>
      </c>
      <c r="E17" s="45">
        <f t="shared" si="1"/>
        <v>7</v>
      </c>
      <c r="F17" s="44">
        <v>73</v>
      </c>
      <c r="G17" s="45">
        <f t="shared" si="2"/>
        <v>83</v>
      </c>
      <c r="H17" s="44">
        <v>13</v>
      </c>
      <c r="I17" s="45">
        <f t="shared" si="3"/>
        <v>13</v>
      </c>
      <c r="J17" s="44">
        <v>20</v>
      </c>
      <c r="K17" s="45">
        <f t="shared" si="4"/>
        <v>20</v>
      </c>
      <c r="L17" s="44"/>
      <c r="M17" s="45">
        <f t="shared" si="5"/>
        <v>0</v>
      </c>
      <c r="N17" s="44">
        <f t="shared" si="6"/>
        <v>113</v>
      </c>
      <c r="O17" s="44">
        <f t="shared" si="7"/>
        <v>123</v>
      </c>
    </row>
    <row r="18" spans="3:15" outlineLevel="1">
      <c r="C18" s="4" t="s">
        <v>14</v>
      </c>
      <c r="D18" s="44">
        <v>43</v>
      </c>
      <c r="E18" s="45">
        <f t="shared" si="1"/>
        <v>43</v>
      </c>
      <c r="F18" s="44">
        <v>5</v>
      </c>
      <c r="G18" s="45">
        <f t="shared" si="2"/>
        <v>5</v>
      </c>
      <c r="H18" s="44">
        <v>11</v>
      </c>
      <c r="I18" s="45">
        <f t="shared" si="3"/>
        <v>11</v>
      </c>
      <c r="J18" s="44">
        <v>2</v>
      </c>
      <c r="K18" s="45">
        <f t="shared" si="4"/>
        <v>2</v>
      </c>
      <c r="L18" s="44"/>
      <c r="M18" s="45">
        <f t="shared" si="5"/>
        <v>0</v>
      </c>
      <c r="N18" s="44">
        <f t="shared" si="6"/>
        <v>61</v>
      </c>
      <c r="O18" s="44">
        <f t="shared" si="7"/>
        <v>61</v>
      </c>
    </row>
    <row r="19" spans="3:15" outlineLevel="1">
      <c r="C19" s="4" t="s">
        <v>15</v>
      </c>
      <c r="D19" s="44">
        <v>76</v>
      </c>
      <c r="E19" s="45">
        <f t="shared" si="1"/>
        <v>86</v>
      </c>
      <c r="F19" s="44">
        <v>3</v>
      </c>
      <c r="G19" s="45">
        <f t="shared" si="2"/>
        <v>3</v>
      </c>
      <c r="H19" s="44">
        <v>4</v>
      </c>
      <c r="I19" s="45">
        <f t="shared" si="3"/>
        <v>4</v>
      </c>
      <c r="J19" s="44">
        <v>1</v>
      </c>
      <c r="K19" s="45">
        <f t="shared" si="4"/>
        <v>1</v>
      </c>
      <c r="L19" s="44"/>
      <c r="M19" s="45">
        <f t="shared" si="5"/>
        <v>0</v>
      </c>
      <c r="N19" s="44">
        <f t="shared" si="6"/>
        <v>84</v>
      </c>
      <c r="O19" s="44">
        <f t="shared" si="7"/>
        <v>94</v>
      </c>
    </row>
    <row r="20" spans="3:15" outlineLevel="1">
      <c r="C20" s="4" t="s">
        <v>16</v>
      </c>
      <c r="D20" s="44">
        <v>73</v>
      </c>
      <c r="E20" s="45">
        <f t="shared" si="1"/>
        <v>83</v>
      </c>
      <c r="F20" s="44">
        <v>9</v>
      </c>
      <c r="G20" s="45">
        <f t="shared" si="2"/>
        <v>9</v>
      </c>
      <c r="H20" s="44">
        <v>51</v>
      </c>
      <c r="I20" s="45">
        <f t="shared" si="3"/>
        <v>61</v>
      </c>
      <c r="J20" s="44">
        <v>1</v>
      </c>
      <c r="K20" s="45">
        <f t="shared" si="4"/>
        <v>1</v>
      </c>
      <c r="L20" s="44"/>
      <c r="M20" s="45">
        <f t="shared" si="5"/>
        <v>0</v>
      </c>
      <c r="N20" s="44">
        <f t="shared" si="6"/>
        <v>134</v>
      </c>
      <c r="O20" s="44">
        <f t="shared" si="7"/>
        <v>154</v>
      </c>
    </row>
    <row r="21" spans="3:15" outlineLevel="1">
      <c r="C21" s="4" t="s">
        <v>17</v>
      </c>
      <c r="D21" s="44">
        <v>5</v>
      </c>
      <c r="E21" s="45">
        <f t="shared" si="1"/>
        <v>5</v>
      </c>
      <c r="F21" s="44">
        <v>11</v>
      </c>
      <c r="G21" s="45">
        <f t="shared" si="2"/>
        <v>11</v>
      </c>
      <c r="H21" s="44">
        <v>1</v>
      </c>
      <c r="I21" s="45">
        <f t="shared" si="3"/>
        <v>1</v>
      </c>
      <c r="J21" s="44">
        <v>22</v>
      </c>
      <c r="K21" s="45">
        <f t="shared" si="4"/>
        <v>22</v>
      </c>
      <c r="L21" s="44"/>
      <c r="M21" s="45">
        <f t="shared" si="5"/>
        <v>0</v>
      </c>
      <c r="N21" s="44">
        <f t="shared" si="6"/>
        <v>39</v>
      </c>
      <c r="O21" s="44">
        <f t="shared" si="7"/>
        <v>39</v>
      </c>
    </row>
    <row r="22" spans="3:15" outlineLevel="1">
      <c r="C22" s="4" t="s">
        <v>18</v>
      </c>
      <c r="D22" s="44">
        <v>3</v>
      </c>
      <c r="E22" s="45">
        <f t="shared" si="1"/>
        <v>3</v>
      </c>
      <c r="F22" s="44">
        <v>4</v>
      </c>
      <c r="G22" s="45">
        <f t="shared" si="2"/>
        <v>4</v>
      </c>
      <c r="H22" s="44">
        <v>21</v>
      </c>
      <c r="I22" s="45">
        <f t="shared" si="3"/>
        <v>21</v>
      </c>
      <c r="J22" s="44">
        <v>11</v>
      </c>
      <c r="K22" s="45">
        <f t="shared" si="4"/>
        <v>11</v>
      </c>
      <c r="L22" s="44"/>
      <c r="M22" s="45">
        <f t="shared" si="5"/>
        <v>0</v>
      </c>
      <c r="N22" s="44">
        <f t="shared" si="6"/>
        <v>39</v>
      </c>
      <c r="O22" s="44">
        <f t="shared" si="7"/>
        <v>39</v>
      </c>
    </row>
    <row r="23" spans="3:15" outlineLevel="1">
      <c r="C23" s="4" t="s">
        <v>19</v>
      </c>
      <c r="D23" s="44">
        <v>9</v>
      </c>
      <c r="E23" s="45">
        <f t="shared" si="1"/>
        <v>9</v>
      </c>
      <c r="F23" s="44">
        <v>7</v>
      </c>
      <c r="G23" s="45">
        <f t="shared" si="2"/>
        <v>7</v>
      </c>
      <c r="H23" s="44">
        <v>3</v>
      </c>
      <c r="I23" s="45">
        <f t="shared" si="3"/>
        <v>3</v>
      </c>
      <c r="J23" s="44">
        <v>23</v>
      </c>
      <c r="K23" s="45">
        <f t="shared" si="4"/>
        <v>23</v>
      </c>
      <c r="L23" s="44"/>
      <c r="M23" s="45">
        <f t="shared" si="5"/>
        <v>0</v>
      </c>
      <c r="N23" s="44">
        <f t="shared" si="6"/>
        <v>42</v>
      </c>
      <c r="O23" s="44">
        <f t="shared" si="7"/>
        <v>42</v>
      </c>
    </row>
    <row r="24" spans="3:15" outlineLevel="1">
      <c r="C24" s="4" t="s">
        <v>20</v>
      </c>
      <c r="D24" s="44">
        <v>11</v>
      </c>
      <c r="E24" s="45">
        <f t="shared" si="1"/>
        <v>11</v>
      </c>
      <c r="F24" s="44">
        <v>9</v>
      </c>
      <c r="G24" s="45">
        <f t="shared" si="2"/>
        <v>9</v>
      </c>
      <c r="H24" s="44">
        <v>1</v>
      </c>
      <c r="I24" s="45">
        <f t="shared" si="3"/>
        <v>1</v>
      </c>
      <c r="J24" s="44">
        <v>1</v>
      </c>
      <c r="K24" s="45">
        <f t="shared" si="4"/>
        <v>1</v>
      </c>
      <c r="L24" s="44"/>
      <c r="M24" s="45">
        <f t="shared" si="5"/>
        <v>0</v>
      </c>
      <c r="N24" s="44">
        <f t="shared" si="6"/>
        <v>22</v>
      </c>
      <c r="O24" s="44">
        <f t="shared" si="7"/>
        <v>22</v>
      </c>
    </row>
  </sheetData>
  <mergeCells count="7">
    <mergeCell ref="T5:V5"/>
    <mergeCell ref="D2:L2"/>
    <mergeCell ref="D3:E3"/>
    <mergeCell ref="F3:G3"/>
    <mergeCell ref="H3:I3"/>
    <mergeCell ref="J3:K3"/>
    <mergeCell ref="L3:M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>
    <tabColor rgb="FFFF0000"/>
  </sheetPr>
  <dimension ref="B2:S24"/>
  <sheetViews>
    <sheetView workbookViewId="0">
      <selection activeCell="E6" sqref="E6"/>
    </sheetView>
  </sheetViews>
  <sheetFormatPr defaultRowHeight="15" outlineLevelRow="1"/>
  <cols>
    <col min="2" max="2" width="11.7109375" bestFit="1" customWidth="1"/>
    <col min="5" max="5" width="5.7109375" bestFit="1" customWidth="1"/>
    <col min="7" max="7" width="5.7109375" bestFit="1" customWidth="1"/>
    <col min="9" max="9" width="5.7109375" bestFit="1" customWidth="1"/>
    <col min="10" max="10" width="11.42578125" bestFit="1" customWidth="1"/>
    <col min="11" max="11" width="5.7109375" bestFit="1" customWidth="1"/>
    <col min="13" max="13" width="5.7109375" bestFit="1" customWidth="1"/>
    <col min="14" max="14" width="12.85546875" bestFit="1" customWidth="1"/>
    <col min="15" max="15" width="11.42578125" bestFit="1" customWidth="1"/>
    <col min="16" max="16" width="6.5703125" customWidth="1"/>
    <col min="17" max="17" width="15.85546875" bestFit="1" customWidth="1"/>
    <col min="18" max="18" width="3" bestFit="1" customWidth="1"/>
    <col min="19" max="19" width="6.5703125" bestFit="1" customWidth="1"/>
  </cols>
  <sheetData>
    <row r="2" spans="2:19">
      <c r="D2" s="59" t="s">
        <v>21</v>
      </c>
      <c r="E2" s="59"/>
      <c r="F2" s="59"/>
      <c r="G2" s="59"/>
      <c r="H2" s="59"/>
      <c r="I2" s="1"/>
    </row>
    <row r="3" spans="2:19">
      <c r="D3" s="57">
        <v>40562</v>
      </c>
      <c r="E3" s="58"/>
      <c r="F3" s="57">
        <v>40563</v>
      </c>
      <c r="G3" s="58"/>
      <c r="H3" s="57">
        <v>40564</v>
      </c>
      <c r="I3" s="58"/>
      <c r="J3" s="57">
        <v>40565</v>
      </c>
      <c r="K3" s="58"/>
      <c r="L3" s="57">
        <v>40566</v>
      </c>
      <c r="M3" s="58"/>
    </row>
    <row r="4" spans="2:19" ht="15.75" thickBot="1">
      <c r="B4" s="7" t="s">
        <v>0</v>
      </c>
      <c r="D4" s="11" t="s">
        <v>28</v>
      </c>
      <c r="E4" s="11" t="s">
        <v>26</v>
      </c>
      <c r="F4" s="11" t="s">
        <v>28</v>
      </c>
      <c r="G4" s="11" t="s">
        <v>26</v>
      </c>
      <c r="H4" s="11" t="s">
        <v>28</v>
      </c>
      <c r="I4" s="11" t="s">
        <v>26</v>
      </c>
      <c r="J4" s="11" t="s">
        <v>28</v>
      </c>
      <c r="K4" s="11" t="s">
        <v>26</v>
      </c>
      <c r="L4" s="11" t="s">
        <v>28</v>
      </c>
      <c r="M4" s="11" t="s">
        <v>26</v>
      </c>
      <c r="N4" s="12" t="s">
        <v>29</v>
      </c>
      <c r="O4" s="13" t="s">
        <v>22</v>
      </c>
      <c r="P4" s="20"/>
    </row>
    <row r="5" spans="2:19" outlineLevel="1">
      <c r="C5" s="4" t="s">
        <v>1</v>
      </c>
      <c r="D5" s="44">
        <v>0</v>
      </c>
      <c r="E5" s="45">
        <f>D5*$R$6+IF(D5&gt;4,$R$9,IF(D5&gt;3,$R$8,IF(D5&gt;2,$R$7,0)))</f>
        <v>0</v>
      </c>
      <c r="F5" s="44">
        <v>0</v>
      </c>
      <c r="G5" s="45">
        <f>F5*$R$6+IF(F5&gt;4,$R$9,IF(F5&gt;3,$R$8,IF(F5&gt;2,$R$7,0)))</f>
        <v>0</v>
      </c>
      <c r="H5" s="44">
        <v>0</v>
      </c>
      <c r="I5" s="45">
        <f>H5*$R$6+IF(H5&gt;4,$R$9,IF(H5&gt;3,$R$8,IF(H5&gt;2,$R$7,0)))</f>
        <v>0</v>
      </c>
      <c r="J5" s="44">
        <v>0</v>
      </c>
      <c r="K5" s="45">
        <f>J5*$R$6+IF(J5&gt;4,$R$9,IF(J5&gt;3,$R$8,IF(J5&gt;2,$R$7,0)))</f>
        <v>0</v>
      </c>
      <c r="L5" s="44"/>
      <c r="M5" s="45">
        <f>L5*$R$6+IF(L5&gt;4,$R$9,IF(L5&gt;3,$R$8,IF(L5&gt;2,$R$7,0)))</f>
        <v>0</v>
      </c>
      <c r="N5" s="44">
        <f>SUM(D5,F5,H5,J5,L5)</f>
        <v>0</v>
      </c>
      <c r="O5" s="44">
        <f>SUM(E5,G5,I5,K5,M5)</f>
        <v>0</v>
      </c>
      <c r="P5" s="19"/>
      <c r="Q5" s="53" t="s">
        <v>36</v>
      </c>
      <c r="R5" s="54"/>
      <c r="S5" s="55"/>
    </row>
    <row r="6" spans="2:19" outlineLevel="1">
      <c r="C6" s="4" t="s">
        <v>2</v>
      </c>
      <c r="D6" s="44">
        <v>1</v>
      </c>
      <c r="E6" s="45">
        <f t="shared" ref="E6:E24" si="0">D6*$R$6+IF(D6&gt;4,$R$9,IF(D6&gt;3,$R$8,IF(D6&gt;2,$R$7,0)))</f>
        <v>25</v>
      </c>
      <c r="F6" s="44">
        <v>0</v>
      </c>
      <c r="G6" s="45">
        <f t="shared" ref="G6:G24" si="1">F6*$R$6+IF(F6&gt;4,$R$9,IF(F6&gt;3,$R$8,IF(F6&gt;2,$R$7,0)))</f>
        <v>0</v>
      </c>
      <c r="H6" s="44">
        <v>0</v>
      </c>
      <c r="I6" s="45">
        <f t="shared" ref="I6:I24" si="2">H6*$R$6+IF(H6&gt;4,$R$9,IF(H6&gt;3,$R$8,IF(H6&gt;2,$R$7,0)))</f>
        <v>0</v>
      </c>
      <c r="J6" s="44">
        <v>0</v>
      </c>
      <c r="K6" s="45">
        <f t="shared" ref="K6:K24" si="3">J6*$R$6+IF(J6&gt;4,$R$9,IF(J6&gt;3,$R$8,IF(J6&gt;2,$R$7,0)))</f>
        <v>0</v>
      </c>
      <c r="L6" s="44"/>
      <c r="M6" s="45">
        <f t="shared" ref="M6:M24" si="4">L6*$R$6+IF(L6&gt;4,$R$9,IF(L6&gt;3,$R$8,IF(L6&gt;2,$R$7,0)))</f>
        <v>0</v>
      </c>
      <c r="N6" s="44">
        <f t="shared" ref="N6:O24" si="5">SUM(D6,F6,H6,J6,L6)</f>
        <v>1</v>
      </c>
      <c r="O6" s="44">
        <f t="shared" si="5"/>
        <v>25</v>
      </c>
      <c r="P6" s="19"/>
      <c r="Q6" s="14" t="s">
        <v>37</v>
      </c>
      <c r="R6" s="4">
        <v>25</v>
      </c>
      <c r="S6" s="15" t="s">
        <v>40</v>
      </c>
    </row>
    <row r="7" spans="2:19" outlineLevel="1">
      <c r="C7" s="4" t="s">
        <v>3</v>
      </c>
      <c r="D7" s="44">
        <v>0</v>
      </c>
      <c r="E7" s="45">
        <f t="shared" si="0"/>
        <v>0</v>
      </c>
      <c r="F7" s="44">
        <v>0</v>
      </c>
      <c r="G7" s="45">
        <f t="shared" si="1"/>
        <v>0</v>
      </c>
      <c r="H7" s="44">
        <v>0</v>
      </c>
      <c r="I7" s="45">
        <f t="shared" si="2"/>
        <v>0</v>
      </c>
      <c r="J7" s="44">
        <v>0</v>
      </c>
      <c r="K7" s="45">
        <f t="shared" si="3"/>
        <v>0</v>
      </c>
      <c r="L7" s="44"/>
      <c r="M7" s="45">
        <f t="shared" si="4"/>
        <v>0</v>
      </c>
      <c r="N7" s="44">
        <f t="shared" si="5"/>
        <v>0</v>
      </c>
      <c r="O7" s="44">
        <f t="shared" si="5"/>
        <v>0</v>
      </c>
      <c r="P7" s="19"/>
      <c r="Q7" s="14" t="s">
        <v>41</v>
      </c>
      <c r="R7" s="4">
        <v>10</v>
      </c>
      <c r="S7" s="15" t="s">
        <v>35</v>
      </c>
    </row>
    <row r="8" spans="2:19" outlineLevel="1">
      <c r="C8" s="4" t="s">
        <v>4</v>
      </c>
      <c r="D8" s="44">
        <v>0</v>
      </c>
      <c r="E8" s="45">
        <f t="shared" si="0"/>
        <v>0</v>
      </c>
      <c r="F8" s="44">
        <v>0</v>
      </c>
      <c r="G8" s="45">
        <f t="shared" si="1"/>
        <v>0</v>
      </c>
      <c r="H8" s="44">
        <v>0</v>
      </c>
      <c r="I8" s="45">
        <f t="shared" si="2"/>
        <v>0</v>
      </c>
      <c r="J8" s="44">
        <v>0</v>
      </c>
      <c r="K8" s="45">
        <f t="shared" si="3"/>
        <v>0</v>
      </c>
      <c r="L8" s="44"/>
      <c r="M8" s="45">
        <f t="shared" si="4"/>
        <v>0</v>
      </c>
      <c r="N8" s="44">
        <f t="shared" si="5"/>
        <v>0</v>
      </c>
      <c r="O8" s="44">
        <f t="shared" si="5"/>
        <v>0</v>
      </c>
      <c r="P8" s="19"/>
      <c r="Q8" s="14" t="s">
        <v>38</v>
      </c>
      <c r="R8" s="4">
        <v>20</v>
      </c>
      <c r="S8" s="15" t="s">
        <v>35</v>
      </c>
    </row>
    <row r="9" spans="2:19" ht="15.75" outlineLevel="1" thickBot="1">
      <c r="C9" s="4" t="s">
        <v>7</v>
      </c>
      <c r="D9" s="44">
        <v>0</v>
      </c>
      <c r="E9" s="45">
        <f t="shared" si="0"/>
        <v>0</v>
      </c>
      <c r="F9" s="44">
        <v>1</v>
      </c>
      <c r="G9" s="45">
        <f t="shared" si="1"/>
        <v>25</v>
      </c>
      <c r="H9" s="44">
        <v>0</v>
      </c>
      <c r="I9" s="45">
        <f t="shared" si="2"/>
        <v>0</v>
      </c>
      <c r="J9" s="44">
        <v>0</v>
      </c>
      <c r="K9" s="45">
        <f t="shared" si="3"/>
        <v>0</v>
      </c>
      <c r="L9" s="44"/>
      <c r="M9" s="45">
        <f t="shared" si="4"/>
        <v>0</v>
      </c>
      <c r="N9" s="44">
        <f t="shared" si="5"/>
        <v>1</v>
      </c>
      <c r="O9" s="44">
        <f t="shared" si="5"/>
        <v>25</v>
      </c>
      <c r="P9" s="19"/>
      <c r="Q9" s="16" t="s">
        <v>39</v>
      </c>
      <c r="R9" s="17">
        <v>30</v>
      </c>
      <c r="S9" s="18" t="s">
        <v>35</v>
      </c>
    </row>
    <row r="10" spans="2:19" outlineLevel="1">
      <c r="C10" s="4" t="s">
        <v>8</v>
      </c>
      <c r="D10" s="44">
        <v>1</v>
      </c>
      <c r="E10" s="45">
        <f t="shared" si="0"/>
        <v>25</v>
      </c>
      <c r="F10" s="44">
        <v>0</v>
      </c>
      <c r="G10" s="45">
        <f t="shared" si="1"/>
        <v>0</v>
      </c>
      <c r="H10" s="44">
        <v>0</v>
      </c>
      <c r="I10" s="45">
        <f t="shared" si="2"/>
        <v>0</v>
      </c>
      <c r="J10" s="44">
        <v>0</v>
      </c>
      <c r="K10" s="45">
        <f t="shared" si="3"/>
        <v>0</v>
      </c>
      <c r="L10" s="44"/>
      <c r="M10" s="45">
        <f t="shared" si="4"/>
        <v>0</v>
      </c>
      <c r="N10" s="44">
        <f t="shared" si="5"/>
        <v>1</v>
      </c>
      <c r="O10" s="44">
        <f t="shared" si="5"/>
        <v>25</v>
      </c>
      <c r="P10" s="19"/>
    </row>
    <row r="11" spans="2:19" outlineLevel="1">
      <c r="C11" s="4" t="s">
        <v>5</v>
      </c>
      <c r="D11" s="44">
        <v>0</v>
      </c>
      <c r="E11" s="45">
        <f t="shared" si="0"/>
        <v>0</v>
      </c>
      <c r="F11" s="44">
        <v>0</v>
      </c>
      <c r="G11" s="45">
        <f t="shared" si="1"/>
        <v>0</v>
      </c>
      <c r="H11" s="44">
        <v>0</v>
      </c>
      <c r="I11" s="45">
        <f t="shared" si="2"/>
        <v>0</v>
      </c>
      <c r="J11" s="44">
        <v>0</v>
      </c>
      <c r="K11" s="45">
        <f t="shared" si="3"/>
        <v>0</v>
      </c>
      <c r="L11" s="44"/>
      <c r="M11" s="45">
        <f t="shared" si="4"/>
        <v>0</v>
      </c>
      <c r="N11" s="44">
        <f t="shared" si="5"/>
        <v>0</v>
      </c>
      <c r="O11" s="44">
        <f t="shared" si="5"/>
        <v>0</v>
      </c>
      <c r="P11" s="19"/>
    </row>
    <row r="12" spans="2:19" outlineLevel="1">
      <c r="C12" s="4" t="s">
        <v>6</v>
      </c>
      <c r="D12" s="44">
        <v>3</v>
      </c>
      <c r="E12" s="45">
        <f t="shared" si="0"/>
        <v>85</v>
      </c>
      <c r="F12" s="44">
        <v>2</v>
      </c>
      <c r="G12" s="45">
        <f t="shared" si="1"/>
        <v>50</v>
      </c>
      <c r="H12" s="44">
        <v>3</v>
      </c>
      <c r="I12" s="45">
        <f t="shared" si="2"/>
        <v>85</v>
      </c>
      <c r="J12" s="44">
        <v>3</v>
      </c>
      <c r="K12" s="45">
        <f t="shared" si="3"/>
        <v>85</v>
      </c>
      <c r="L12" s="44"/>
      <c r="M12" s="45">
        <f t="shared" si="4"/>
        <v>0</v>
      </c>
      <c r="N12" s="44">
        <f t="shared" si="5"/>
        <v>11</v>
      </c>
      <c r="O12" s="44">
        <f t="shared" si="5"/>
        <v>305</v>
      </c>
      <c r="P12" s="19"/>
    </row>
    <row r="13" spans="2:19" outlineLevel="1">
      <c r="C13" s="4" t="s">
        <v>9</v>
      </c>
      <c r="D13" s="44">
        <v>3</v>
      </c>
      <c r="E13" s="45">
        <f t="shared" si="0"/>
        <v>85</v>
      </c>
      <c r="F13" s="44">
        <v>4</v>
      </c>
      <c r="G13" s="45">
        <f t="shared" si="1"/>
        <v>120</v>
      </c>
      <c r="H13" s="44">
        <v>4</v>
      </c>
      <c r="I13" s="45">
        <f t="shared" si="2"/>
        <v>120</v>
      </c>
      <c r="J13" s="44">
        <v>4</v>
      </c>
      <c r="K13" s="45">
        <f t="shared" si="3"/>
        <v>120</v>
      </c>
      <c r="L13" s="44"/>
      <c r="M13" s="45">
        <f t="shared" si="4"/>
        <v>0</v>
      </c>
      <c r="N13" s="44">
        <f t="shared" si="5"/>
        <v>15</v>
      </c>
      <c r="O13" s="44">
        <f t="shared" si="5"/>
        <v>445</v>
      </c>
      <c r="P13" s="19"/>
    </row>
    <row r="14" spans="2:19" outlineLevel="1">
      <c r="C14" s="4" t="s">
        <v>10</v>
      </c>
      <c r="D14" s="44">
        <v>2</v>
      </c>
      <c r="E14" s="45">
        <f t="shared" si="0"/>
        <v>50</v>
      </c>
      <c r="F14" s="44">
        <v>3</v>
      </c>
      <c r="G14" s="45">
        <f t="shared" si="1"/>
        <v>85</v>
      </c>
      <c r="H14" s="44">
        <v>3</v>
      </c>
      <c r="I14" s="45">
        <f t="shared" si="2"/>
        <v>85</v>
      </c>
      <c r="J14" s="44">
        <v>3</v>
      </c>
      <c r="K14" s="45">
        <f t="shared" si="3"/>
        <v>85</v>
      </c>
      <c r="L14" s="44"/>
      <c r="M14" s="45">
        <f t="shared" si="4"/>
        <v>0</v>
      </c>
      <c r="N14" s="44">
        <f t="shared" si="5"/>
        <v>11</v>
      </c>
      <c r="O14" s="44">
        <f t="shared" si="5"/>
        <v>305</v>
      </c>
      <c r="P14" s="19"/>
    </row>
    <row r="15" spans="2:19">
      <c r="B15" s="7" t="s">
        <v>11</v>
      </c>
      <c r="C15" s="4"/>
      <c r="D15" s="44"/>
      <c r="E15" s="45"/>
      <c r="F15" s="44"/>
      <c r="G15" s="45"/>
      <c r="H15" s="44"/>
      <c r="I15" s="45"/>
      <c r="J15" s="44"/>
      <c r="K15" s="45"/>
      <c r="L15" s="44"/>
      <c r="M15" s="45"/>
      <c r="N15" s="44"/>
      <c r="O15" s="44"/>
      <c r="P15" s="19"/>
    </row>
    <row r="16" spans="2:19" outlineLevel="1">
      <c r="C16" s="4" t="s">
        <v>12</v>
      </c>
      <c r="D16" s="44">
        <v>0</v>
      </c>
      <c r="E16" s="45">
        <f t="shared" si="0"/>
        <v>0</v>
      </c>
      <c r="F16" s="44">
        <v>0</v>
      </c>
      <c r="G16" s="45">
        <f t="shared" si="1"/>
        <v>0</v>
      </c>
      <c r="H16" s="44">
        <v>0</v>
      </c>
      <c r="I16" s="45">
        <f t="shared" si="2"/>
        <v>0</v>
      </c>
      <c r="J16" s="44">
        <v>0</v>
      </c>
      <c r="K16" s="45">
        <f t="shared" si="3"/>
        <v>0</v>
      </c>
      <c r="L16" s="44"/>
      <c r="M16" s="45">
        <f t="shared" si="4"/>
        <v>0</v>
      </c>
      <c r="N16" s="44">
        <f t="shared" si="5"/>
        <v>0</v>
      </c>
      <c r="O16" s="44">
        <f t="shared" si="5"/>
        <v>0</v>
      </c>
      <c r="P16" s="19"/>
    </row>
    <row r="17" spans="3:16" outlineLevel="1">
      <c r="C17" s="4" t="s">
        <v>13</v>
      </c>
      <c r="D17" s="44">
        <v>0</v>
      </c>
      <c r="E17" s="45">
        <f t="shared" si="0"/>
        <v>0</v>
      </c>
      <c r="F17" s="44">
        <v>0</v>
      </c>
      <c r="G17" s="45">
        <f t="shared" si="1"/>
        <v>0</v>
      </c>
      <c r="H17" s="44">
        <v>0</v>
      </c>
      <c r="I17" s="45">
        <f t="shared" si="2"/>
        <v>0</v>
      </c>
      <c r="J17" s="44">
        <v>0</v>
      </c>
      <c r="K17" s="45">
        <f t="shared" si="3"/>
        <v>0</v>
      </c>
      <c r="L17" s="44"/>
      <c r="M17" s="45">
        <f t="shared" si="4"/>
        <v>0</v>
      </c>
      <c r="N17" s="44">
        <f t="shared" si="5"/>
        <v>0</v>
      </c>
      <c r="O17" s="44">
        <f t="shared" si="5"/>
        <v>0</v>
      </c>
      <c r="P17" s="19"/>
    </row>
    <row r="18" spans="3:16" outlineLevel="1">
      <c r="C18" s="4" t="s">
        <v>14</v>
      </c>
      <c r="D18" s="44">
        <v>1</v>
      </c>
      <c r="E18" s="45">
        <f t="shared" si="0"/>
        <v>25</v>
      </c>
      <c r="F18" s="44">
        <v>0</v>
      </c>
      <c r="G18" s="45">
        <f t="shared" si="1"/>
        <v>0</v>
      </c>
      <c r="H18" s="44">
        <v>0</v>
      </c>
      <c r="I18" s="45">
        <f t="shared" si="2"/>
        <v>0</v>
      </c>
      <c r="J18" s="44">
        <v>0</v>
      </c>
      <c r="K18" s="45">
        <f t="shared" si="3"/>
        <v>0</v>
      </c>
      <c r="L18" s="44"/>
      <c r="M18" s="45">
        <f t="shared" si="4"/>
        <v>0</v>
      </c>
      <c r="N18" s="44">
        <f t="shared" si="5"/>
        <v>1</v>
      </c>
      <c r="O18" s="44">
        <f t="shared" si="5"/>
        <v>25</v>
      </c>
      <c r="P18" s="19"/>
    </row>
    <row r="19" spans="3:16" outlineLevel="1">
      <c r="C19" s="4" t="s">
        <v>15</v>
      </c>
      <c r="D19" s="44">
        <v>0</v>
      </c>
      <c r="E19" s="45">
        <f t="shared" si="0"/>
        <v>0</v>
      </c>
      <c r="F19" s="44">
        <v>0</v>
      </c>
      <c r="G19" s="45">
        <f t="shared" si="1"/>
        <v>0</v>
      </c>
      <c r="H19" s="44">
        <v>0</v>
      </c>
      <c r="I19" s="45">
        <f t="shared" si="2"/>
        <v>0</v>
      </c>
      <c r="J19" s="44">
        <v>0</v>
      </c>
      <c r="K19" s="45">
        <f t="shared" si="3"/>
        <v>0</v>
      </c>
      <c r="L19" s="44"/>
      <c r="M19" s="45">
        <f t="shared" si="4"/>
        <v>0</v>
      </c>
      <c r="N19" s="44">
        <f t="shared" si="5"/>
        <v>0</v>
      </c>
      <c r="O19" s="44">
        <f t="shared" si="5"/>
        <v>0</v>
      </c>
      <c r="P19" s="19"/>
    </row>
    <row r="20" spans="3:16" outlineLevel="1">
      <c r="C20" s="4" t="s">
        <v>16</v>
      </c>
      <c r="D20" s="44">
        <v>1</v>
      </c>
      <c r="E20" s="45">
        <f t="shared" si="0"/>
        <v>25</v>
      </c>
      <c r="F20" s="44">
        <v>0</v>
      </c>
      <c r="G20" s="45">
        <f t="shared" si="1"/>
        <v>0</v>
      </c>
      <c r="H20" s="44">
        <v>0</v>
      </c>
      <c r="I20" s="45">
        <f t="shared" si="2"/>
        <v>0</v>
      </c>
      <c r="J20" s="44">
        <v>0</v>
      </c>
      <c r="K20" s="45">
        <f t="shared" si="3"/>
        <v>0</v>
      </c>
      <c r="L20" s="44"/>
      <c r="M20" s="45">
        <f t="shared" si="4"/>
        <v>0</v>
      </c>
      <c r="N20" s="44">
        <f t="shared" si="5"/>
        <v>1</v>
      </c>
      <c r="O20" s="44">
        <f t="shared" si="5"/>
        <v>25</v>
      </c>
      <c r="P20" s="19"/>
    </row>
    <row r="21" spans="3:16" outlineLevel="1">
      <c r="C21" s="4" t="s">
        <v>17</v>
      </c>
      <c r="D21" s="44">
        <v>0</v>
      </c>
      <c r="E21" s="45">
        <f t="shared" si="0"/>
        <v>0</v>
      </c>
      <c r="F21" s="44">
        <v>0</v>
      </c>
      <c r="G21" s="45">
        <f t="shared" si="1"/>
        <v>0</v>
      </c>
      <c r="H21" s="44">
        <v>0</v>
      </c>
      <c r="I21" s="45">
        <f t="shared" si="2"/>
        <v>0</v>
      </c>
      <c r="J21" s="44">
        <v>0</v>
      </c>
      <c r="K21" s="45">
        <f t="shared" si="3"/>
        <v>0</v>
      </c>
      <c r="L21" s="44"/>
      <c r="M21" s="45">
        <f t="shared" si="4"/>
        <v>0</v>
      </c>
      <c r="N21" s="44">
        <f t="shared" si="5"/>
        <v>0</v>
      </c>
      <c r="O21" s="44">
        <f t="shared" si="5"/>
        <v>0</v>
      </c>
      <c r="P21" s="19"/>
    </row>
    <row r="22" spans="3:16" outlineLevel="1">
      <c r="C22" s="4" t="s">
        <v>18</v>
      </c>
      <c r="D22" s="44">
        <v>3</v>
      </c>
      <c r="E22" s="45">
        <f t="shared" si="0"/>
        <v>85</v>
      </c>
      <c r="F22" s="44">
        <v>4</v>
      </c>
      <c r="G22" s="45">
        <f t="shared" si="1"/>
        <v>120</v>
      </c>
      <c r="H22" s="44">
        <v>5</v>
      </c>
      <c r="I22" s="45">
        <f t="shared" si="2"/>
        <v>155</v>
      </c>
      <c r="J22" s="44">
        <v>4</v>
      </c>
      <c r="K22" s="45">
        <f t="shared" si="3"/>
        <v>120</v>
      </c>
      <c r="L22" s="44"/>
      <c r="M22" s="45">
        <f t="shared" si="4"/>
        <v>0</v>
      </c>
      <c r="N22" s="44">
        <f t="shared" si="5"/>
        <v>16</v>
      </c>
      <c r="O22" s="44">
        <f t="shared" si="5"/>
        <v>480</v>
      </c>
      <c r="P22" s="19"/>
    </row>
    <row r="23" spans="3:16" outlineLevel="1">
      <c r="C23" s="4" t="s">
        <v>19</v>
      </c>
      <c r="D23" s="44">
        <v>3</v>
      </c>
      <c r="E23" s="45">
        <f t="shared" si="0"/>
        <v>85</v>
      </c>
      <c r="F23" s="44">
        <v>5</v>
      </c>
      <c r="G23" s="45">
        <f t="shared" si="1"/>
        <v>155</v>
      </c>
      <c r="H23" s="44">
        <v>4</v>
      </c>
      <c r="I23" s="45">
        <f t="shared" si="2"/>
        <v>120</v>
      </c>
      <c r="J23" s="44">
        <v>1</v>
      </c>
      <c r="K23" s="45">
        <f t="shared" si="3"/>
        <v>25</v>
      </c>
      <c r="L23" s="44"/>
      <c r="M23" s="45">
        <f t="shared" si="4"/>
        <v>0</v>
      </c>
      <c r="N23" s="44">
        <f t="shared" si="5"/>
        <v>13</v>
      </c>
      <c r="O23" s="44">
        <f t="shared" si="5"/>
        <v>385</v>
      </c>
      <c r="P23" s="19"/>
    </row>
    <row r="24" spans="3:16" outlineLevel="1">
      <c r="C24" s="4" t="s">
        <v>20</v>
      </c>
      <c r="D24" s="44">
        <v>2</v>
      </c>
      <c r="E24" s="45">
        <f t="shared" si="0"/>
        <v>50</v>
      </c>
      <c r="F24" s="44">
        <v>1</v>
      </c>
      <c r="G24" s="45">
        <f t="shared" si="1"/>
        <v>25</v>
      </c>
      <c r="H24" s="44">
        <v>1</v>
      </c>
      <c r="I24" s="45">
        <f t="shared" si="2"/>
        <v>25</v>
      </c>
      <c r="J24" s="44">
        <v>1</v>
      </c>
      <c r="K24" s="45">
        <f t="shared" si="3"/>
        <v>25</v>
      </c>
      <c r="L24" s="44"/>
      <c r="M24" s="45">
        <f t="shared" si="4"/>
        <v>0</v>
      </c>
      <c r="N24" s="44">
        <f t="shared" si="5"/>
        <v>5</v>
      </c>
      <c r="O24" s="44">
        <f t="shared" si="5"/>
        <v>125</v>
      </c>
      <c r="P24" s="19"/>
    </row>
  </sheetData>
  <mergeCells count="7">
    <mergeCell ref="L3:M3"/>
    <mergeCell ref="Q5:S5"/>
    <mergeCell ref="D2:H2"/>
    <mergeCell ref="D3:E3"/>
    <mergeCell ref="F3:G3"/>
    <mergeCell ref="H3:I3"/>
    <mergeCell ref="J3:K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>
    <tabColor rgb="FFFF0000"/>
  </sheetPr>
  <dimension ref="B2:S24"/>
  <sheetViews>
    <sheetView workbookViewId="0">
      <selection activeCell="Q5" sqref="Q5:S6"/>
    </sheetView>
  </sheetViews>
  <sheetFormatPr defaultRowHeight="15" outlineLevelRow="1"/>
  <cols>
    <col min="2" max="2" width="11.7109375" bestFit="1" customWidth="1"/>
    <col min="4" max="4" width="10.5703125" bestFit="1" customWidth="1"/>
    <col min="5" max="5" width="5.7109375" bestFit="1" customWidth="1"/>
    <col min="6" max="6" width="10.5703125" bestFit="1" customWidth="1"/>
    <col min="7" max="7" width="5.7109375" bestFit="1" customWidth="1"/>
    <col min="8" max="8" width="10.5703125" bestFit="1" customWidth="1"/>
    <col min="9" max="9" width="5.7109375" bestFit="1" customWidth="1"/>
    <col min="10" max="10" width="10.5703125" bestFit="1" customWidth="1"/>
    <col min="11" max="11" width="5.7109375" bestFit="1" customWidth="1"/>
    <col min="12" max="12" width="10.5703125" bestFit="1" customWidth="1"/>
    <col min="13" max="13" width="5.7109375" bestFit="1" customWidth="1"/>
    <col min="14" max="14" width="15.5703125" bestFit="1" customWidth="1"/>
    <col min="15" max="15" width="11.42578125" bestFit="1" customWidth="1"/>
    <col min="16" max="16" width="6.7109375" customWidth="1"/>
    <col min="17" max="17" width="12" bestFit="1" customWidth="1"/>
    <col min="18" max="18" width="3" bestFit="1" customWidth="1"/>
    <col min="19" max="19" width="6.5703125" bestFit="1" customWidth="1"/>
  </cols>
  <sheetData>
    <row r="2" spans="2:19">
      <c r="D2" s="59" t="s">
        <v>21</v>
      </c>
      <c r="E2" s="59"/>
      <c r="F2" s="59"/>
      <c r="G2" s="59"/>
      <c r="H2" s="59"/>
      <c r="I2" s="1"/>
    </row>
    <row r="3" spans="2:19">
      <c r="D3" s="57">
        <v>40562</v>
      </c>
      <c r="E3" s="58"/>
      <c r="F3" s="57">
        <v>40563</v>
      </c>
      <c r="G3" s="58"/>
      <c r="H3" s="57">
        <v>40564</v>
      </c>
      <c r="I3" s="58"/>
      <c r="J3" s="57">
        <v>40565</v>
      </c>
      <c r="K3" s="58"/>
      <c r="L3" s="57">
        <v>40566</v>
      </c>
      <c r="M3" s="58"/>
    </row>
    <row r="4" spans="2:19" ht="15.75" thickBot="1">
      <c r="B4" s="7" t="s">
        <v>0</v>
      </c>
      <c r="D4" s="11" t="s">
        <v>42</v>
      </c>
      <c r="E4" s="11" t="s">
        <v>26</v>
      </c>
      <c r="F4" s="11" t="s">
        <v>42</v>
      </c>
      <c r="G4" s="11" t="s">
        <v>26</v>
      </c>
      <c r="H4" s="11" t="s">
        <v>42</v>
      </c>
      <c r="I4" s="11" t="s">
        <v>26</v>
      </c>
      <c r="J4" s="11" t="s">
        <v>42</v>
      </c>
      <c r="K4" s="11" t="s">
        <v>26</v>
      </c>
      <c r="L4" s="11" t="s">
        <v>42</v>
      </c>
      <c r="M4" s="11" t="s">
        <v>26</v>
      </c>
      <c r="N4" s="12" t="s">
        <v>43</v>
      </c>
      <c r="O4" s="13" t="s">
        <v>22</v>
      </c>
    </row>
    <row r="5" spans="2:19" outlineLevel="1">
      <c r="C5" s="4" t="s">
        <v>1</v>
      </c>
      <c r="D5" s="46">
        <v>1</v>
      </c>
      <c r="E5" s="47">
        <f>D5*$R$6</f>
        <v>10</v>
      </c>
      <c r="F5" s="46">
        <v>0</v>
      </c>
      <c r="G5" s="47">
        <f>F5*$R$6</f>
        <v>0</v>
      </c>
      <c r="H5" s="46">
        <v>0</v>
      </c>
      <c r="I5" s="47">
        <f>H5*$R$6</f>
        <v>0</v>
      </c>
      <c r="J5" s="46">
        <v>3</v>
      </c>
      <c r="K5" s="47">
        <f>J5*$R$6</f>
        <v>30</v>
      </c>
      <c r="L5" s="46"/>
      <c r="M5" s="47">
        <f>L5*$R$6</f>
        <v>0</v>
      </c>
      <c r="N5" s="46">
        <f>SUM(D5,F5,H5,J5,L5)</f>
        <v>4</v>
      </c>
      <c r="O5" s="46">
        <f>SUM(E5,G5,I5,K5,M5)</f>
        <v>40</v>
      </c>
      <c r="Q5" s="53" t="s">
        <v>36</v>
      </c>
      <c r="R5" s="54"/>
      <c r="S5" s="55"/>
    </row>
    <row r="6" spans="2:19" ht="15.75" outlineLevel="1" thickBot="1">
      <c r="C6" s="4" t="s">
        <v>2</v>
      </c>
      <c r="D6" s="46">
        <v>0</v>
      </c>
      <c r="E6" s="47">
        <f t="shared" ref="E6:E24" si="0">D6*$R$6</f>
        <v>0</v>
      </c>
      <c r="F6" s="46">
        <v>1</v>
      </c>
      <c r="G6" s="47">
        <f t="shared" ref="G6:G24" si="1">F6*$R$6</f>
        <v>10</v>
      </c>
      <c r="H6" s="46">
        <v>1</v>
      </c>
      <c r="I6" s="47">
        <f t="shared" ref="I6:I24" si="2">H6*$R$6</f>
        <v>10</v>
      </c>
      <c r="J6" s="46">
        <v>0</v>
      </c>
      <c r="K6" s="47">
        <f t="shared" ref="K6:K24" si="3">J6*$R$6</f>
        <v>0</v>
      </c>
      <c r="L6" s="46"/>
      <c r="M6" s="47">
        <f t="shared" ref="M6:M24" si="4">L6*$R$6</f>
        <v>0</v>
      </c>
      <c r="N6" s="46">
        <f t="shared" ref="N6:O24" si="5">SUM(D6,F6,H6,J6,L6)</f>
        <v>2</v>
      </c>
      <c r="O6" s="46">
        <f t="shared" si="5"/>
        <v>20</v>
      </c>
      <c r="Q6" s="16" t="s">
        <v>44</v>
      </c>
      <c r="R6" s="17">
        <v>10</v>
      </c>
      <c r="S6" s="18" t="s">
        <v>40</v>
      </c>
    </row>
    <row r="7" spans="2:19" outlineLevel="1">
      <c r="C7" s="4" t="s">
        <v>3</v>
      </c>
      <c r="D7" s="46">
        <v>1</v>
      </c>
      <c r="E7" s="47">
        <f t="shared" si="0"/>
        <v>10</v>
      </c>
      <c r="F7" s="46">
        <v>0</v>
      </c>
      <c r="G7" s="47">
        <f t="shared" si="1"/>
        <v>0</v>
      </c>
      <c r="H7" s="46">
        <v>0</v>
      </c>
      <c r="I7" s="47">
        <f t="shared" si="2"/>
        <v>0</v>
      </c>
      <c r="J7" s="46">
        <v>0</v>
      </c>
      <c r="K7" s="47">
        <f t="shared" si="3"/>
        <v>0</v>
      </c>
      <c r="L7" s="46"/>
      <c r="M7" s="47">
        <f t="shared" si="4"/>
        <v>0</v>
      </c>
      <c r="N7" s="46">
        <f t="shared" si="5"/>
        <v>1</v>
      </c>
      <c r="O7" s="46">
        <f t="shared" si="5"/>
        <v>10</v>
      </c>
    </row>
    <row r="8" spans="2:19" outlineLevel="1">
      <c r="C8" s="4" t="s">
        <v>4</v>
      </c>
      <c r="D8" s="46">
        <v>2</v>
      </c>
      <c r="E8" s="47">
        <f t="shared" si="0"/>
        <v>20</v>
      </c>
      <c r="F8" s="46">
        <v>1</v>
      </c>
      <c r="G8" s="47">
        <f t="shared" si="1"/>
        <v>10</v>
      </c>
      <c r="H8" s="46">
        <v>2</v>
      </c>
      <c r="I8" s="47">
        <f t="shared" si="2"/>
        <v>20</v>
      </c>
      <c r="J8" s="46">
        <v>0</v>
      </c>
      <c r="K8" s="47">
        <f t="shared" si="3"/>
        <v>0</v>
      </c>
      <c r="L8" s="46"/>
      <c r="M8" s="47">
        <f t="shared" si="4"/>
        <v>0</v>
      </c>
      <c r="N8" s="46">
        <f t="shared" si="5"/>
        <v>5</v>
      </c>
      <c r="O8" s="46">
        <f t="shared" si="5"/>
        <v>50</v>
      </c>
    </row>
    <row r="9" spans="2:19" outlineLevel="1">
      <c r="C9" s="4" t="s">
        <v>7</v>
      </c>
      <c r="D9" s="46">
        <v>0</v>
      </c>
      <c r="E9" s="47">
        <f t="shared" si="0"/>
        <v>0</v>
      </c>
      <c r="F9" s="46">
        <v>0</v>
      </c>
      <c r="G9" s="47">
        <f t="shared" si="1"/>
        <v>0</v>
      </c>
      <c r="H9" s="46">
        <v>0</v>
      </c>
      <c r="I9" s="47">
        <f t="shared" si="2"/>
        <v>0</v>
      </c>
      <c r="J9" s="46">
        <v>0</v>
      </c>
      <c r="K9" s="47">
        <f t="shared" si="3"/>
        <v>0</v>
      </c>
      <c r="L9" s="46"/>
      <c r="M9" s="47">
        <f t="shared" si="4"/>
        <v>0</v>
      </c>
      <c r="N9" s="46">
        <f t="shared" si="5"/>
        <v>0</v>
      </c>
      <c r="O9" s="46">
        <f t="shared" si="5"/>
        <v>0</v>
      </c>
    </row>
    <row r="10" spans="2:19" outlineLevel="1">
      <c r="C10" s="4" t="s">
        <v>8</v>
      </c>
      <c r="D10" s="46">
        <v>2</v>
      </c>
      <c r="E10" s="47">
        <f t="shared" si="0"/>
        <v>20</v>
      </c>
      <c r="F10" s="46">
        <v>1</v>
      </c>
      <c r="G10" s="47">
        <f t="shared" si="1"/>
        <v>10</v>
      </c>
      <c r="H10" s="46">
        <v>1</v>
      </c>
      <c r="I10" s="47">
        <f t="shared" si="2"/>
        <v>10</v>
      </c>
      <c r="J10" s="46">
        <v>0</v>
      </c>
      <c r="K10" s="47">
        <f t="shared" si="3"/>
        <v>0</v>
      </c>
      <c r="L10" s="46"/>
      <c r="M10" s="47">
        <f t="shared" si="4"/>
        <v>0</v>
      </c>
      <c r="N10" s="46">
        <f t="shared" si="5"/>
        <v>4</v>
      </c>
      <c r="O10" s="46">
        <f t="shared" si="5"/>
        <v>40</v>
      </c>
    </row>
    <row r="11" spans="2:19" outlineLevel="1">
      <c r="C11" s="4" t="s">
        <v>5</v>
      </c>
      <c r="D11" s="46">
        <v>3</v>
      </c>
      <c r="E11" s="47">
        <f t="shared" si="0"/>
        <v>30</v>
      </c>
      <c r="F11" s="46">
        <v>2</v>
      </c>
      <c r="G11" s="47">
        <f t="shared" si="1"/>
        <v>20</v>
      </c>
      <c r="H11" s="46">
        <v>3</v>
      </c>
      <c r="I11" s="47">
        <f t="shared" si="2"/>
        <v>30</v>
      </c>
      <c r="J11" s="46">
        <v>4</v>
      </c>
      <c r="K11" s="47">
        <f t="shared" si="3"/>
        <v>40</v>
      </c>
      <c r="L11" s="46"/>
      <c r="M11" s="47">
        <f t="shared" si="4"/>
        <v>0</v>
      </c>
      <c r="N11" s="46">
        <f t="shared" si="5"/>
        <v>12</v>
      </c>
      <c r="O11" s="46">
        <f t="shared" si="5"/>
        <v>120</v>
      </c>
    </row>
    <row r="12" spans="2:19" outlineLevel="1">
      <c r="C12" s="4" t="s">
        <v>6</v>
      </c>
      <c r="D12" s="46">
        <v>0</v>
      </c>
      <c r="E12" s="47">
        <f t="shared" si="0"/>
        <v>0</v>
      </c>
      <c r="F12" s="46">
        <v>1</v>
      </c>
      <c r="G12" s="47">
        <f t="shared" si="1"/>
        <v>10</v>
      </c>
      <c r="H12" s="46">
        <v>1</v>
      </c>
      <c r="I12" s="47">
        <f t="shared" si="2"/>
        <v>10</v>
      </c>
      <c r="J12" s="46">
        <v>1</v>
      </c>
      <c r="K12" s="47">
        <f t="shared" si="3"/>
        <v>10</v>
      </c>
      <c r="L12" s="46"/>
      <c r="M12" s="47">
        <f t="shared" si="4"/>
        <v>0</v>
      </c>
      <c r="N12" s="46">
        <f t="shared" si="5"/>
        <v>3</v>
      </c>
      <c r="O12" s="46">
        <f t="shared" si="5"/>
        <v>30</v>
      </c>
    </row>
    <row r="13" spans="2:19" outlineLevel="1">
      <c r="C13" s="4" t="s">
        <v>9</v>
      </c>
      <c r="D13" s="46">
        <v>1</v>
      </c>
      <c r="E13" s="47">
        <f t="shared" si="0"/>
        <v>10</v>
      </c>
      <c r="F13" s="46">
        <v>1</v>
      </c>
      <c r="G13" s="47">
        <f t="shared" si="1"/>
        <v>10</v>
      </c>
      <c r="H13" s="46">
        <v>0</v>
      </c>
      <c r="I13" s="47">
        <f t="shared" si="2"/>
        <v>0</v>
      </c>
      <c r="J13" s="46">
        <v>0</v>
      </c>
      <c r="K13" s="47">
        <f t="shared" si="3"/>
        <v>0</v>
      </c>
      <c r="L13" s="46"/>
      <c r="M13" s="47">
        <f t="shared" si="4"/>
        <v>0</v>
      </c>
      <c r="N13" s="46">
        <f t="shared" si="5"/>
        <v>2</v>
      </c>
      <c r="O13" s="46">
        <f t="shared" si="5"/>
        <v>20</v>
      </c>
    </row>
    <row r="14" spans="2:19" outlineLevel="1">
      <c r="C14" s="4" t="s">
        <v>10</v>
      </c>
      <c r="D14" s="46">
        <v>0</v>
      </c>
      <c r="E14" s="47">
        <f t="shared" si="0"/>
        <v>0</v>
      </c>
      <c r="F14" s="46">
        <v>1</v>
      </c>
      <c r="G14" s="47">
        <f t="shared" si="1"/>
        <v>10</v>
      </c>
      <c r="H14" s="46">
        <v>1</v>
      </c>
      <c r="I14" s="47">
        <f t="shared" si="2"/>
        <v>10</v>
      </c>
      <c r="J14" s="46">
        <v>0</v>
      </c>
      <c r="K14" s="47">
        <f t="shared" si="3"/>
        <v>0</v>
      </c>
      <c r="L14" s="46"/>
      <c r="M14" s="47">
        <f t="shared" si="4"/>
        <v>0</v>
      </c>
      <c r="N14" s="46">
        <f t="shared" si="5"/>
        <v>2</v>
      </c>
      <c r="O14" s="46">
        <f t="shared" si="5"/>
        <v>20</v>
      </c>
    </row>
    <row r="15" spans="2:19">
      <c r="B15" s="7" t="s">
        <v>11</v>
      </c>
      <c r="C15" s="4"/>
      <c r="D15" s="46"/>
      <c r="E15" s="47"/>
      <c r="F15" s="46"/>
      <c r="G15" s="47"/>
      <c r="H15" s="46"/>
      <c r="I15" s="47"/>
      <c r="J15" s="46"/>
      <c r="K15" s="47"/>
      <c r="L15" s="46"/>
      <c r="M15" s="47"/>
      <c r="N15" s="46"/>
      <c r="O15" s="46"/>
    </row>
    <row r="16" spans="2:19" outlineLevel="1">
      <c r="C16" s="4" t="s">
        <v>12</v>
      </c>
      <c r="D16" s="46">
        <v>1</v>
      </c>
      <c r="E16" s="47">
        <f t="shared" si="0"/>
        <v>10</v>
      </c>
      <c r="F16" s="46">
        <v>0</v>
      </c>
      <c r="G16" s="47">
        <f t="shared" si="1"/>
        <v>0</v>
      </c>
      <c r="H16" s="46">
        <v>1</v>
      </c>
      <c r="I16" s="47">
        <f t="shared" si="2"/>
        <v>10</v>
      </c>
      <c r="J16" s="46">
        <v>1</v>
      </c>
      <c r="K16" s="47">
        <f t="shared" si="3"/>
        <v>10</v>
      </c>
      <c r="L16" s="46"/>
      <c r="M16" s="47">
        <f t="shared" si="4"/>
        <v>0</v>
      </c>
      <c r="N16" s="46">
        <f t="shared" si="5"/>
        <v>3</v>
      </c>
      <c r="O16" s="46">
        <f t="shared" si="5"/>
        <v>30</v>
      </c>
    </row>
    <row r="17" spans="3:15" outlineLevel="1">
      <c r="C17" s="4" t="s">
        <v>13</v>
      </c>
      <c r="D17" s="46">
        <v>2</v>
      </c>
      <c r="E17" s="47">
        <f t="shared" si="0"/>
        <v>20</v>
      </c>
      <c r="F17" s="46">
        <v>2</v>
      </c>
      <c r="G17" s="47">
        <f t="shared" si="1"/>
        <v>20</v>
      </c>
      <c r="H17" s="46">
        <v>1</v>
      </c>
      <c r="I17" s="47">
        <f t="shared" si="2"/>
        <v>10</v>
      </c>
      <c r="J17" s="46">
        <v>1</v>
      </c>
      <c r="K17" s="47">
        <f t="shared" si="3"/>
        <v>10</v>
      </c>
      <c r="L17" s="46"/>
      <c r="M17" s="47">
        <f t="shared" si="4"/>
        <v>0</v>
      </c>
      <c r="N17" s="46">
        <f t="shared" si="5"/>
        <v>6</v>
      </c>
      <c r="O17" s="46">
        <f t="shared" si="5"/>
        <v>60</v>
      </c>
    </row>
    <row r="18" spans="3:15" outlineLevel="1">
      <c r="C18" s="4" t="s">
        <v>14</v>
      </c>
      <c r="D18" s="46">
        <v>0</v>
      </c>
      <c r="E18" s="47">
        <f t="shared" si="0"/>
        <v>0</v>
      </c>
      <c r="F18" s="46">
        <v>1</v>
      </c>
      <c r="G18" s="47">
        <f t="shared" si="1"/>
        <v>10</v>
      </c>
      <c r="H18" s="46">
        <v>1</v>
      </c>
      <c r="I18" s="47">
        <f t="shared" si="2"/>
        <v>10</v>
      </c>
      <c r="J18" s="46">
        <v>0</v>
      </c>
      <c r="K18" s="47">
        <f t="shared" si="3"/>
        <v>0</v>
      </c>
      <c r="L18" s="46"/>
      <c r="M18" s="47">
        <f t="shared" si="4"/>
        <v>0</v>
      </c>
      <c r="N18" s="46">
        <f t="shared" si="5"/>
        <v>2</v>
      </c>
      <c r="O18" s="46">
        <f t="shared" si="5"/>
        <v>20</v>
      </c>
    </row>
    <row r="19" spans="3:15" outlineLevel="1">
      <c r="C19" s="4" t="s">
        <v>15</v>
      </c>
      <c r="D19" s="46">
        <v>3</v>
      </c>
      <c r="E19" s="47">
        <f t="shared" si="0"/>
        <v>30</v>
      </c>
      <c r="F19" s="46">
        <v>2</v>
      </c>
      <c r="G19" s="47">
        <f t="shared" si="1"/>
        <v>20</v>
      </c>
      <c r="H19" s="46">
        <v>2</v>
      </c>
      <c r="I19" s="47">
        <f t="shared" si="2"/>
        <v>20</v>
      </c>
      <c r="J19" s="46">
        <v>1</v>
      </c>
      <c r="K19" s="47">
        <f t="shared" si="3"/>
        <v>10</v>
      </c>
      <c r="L19" s="46"/>
      <c r="M19" s="47">
        <f t="shared" si="4"/>
        <v>0</v>
      </c>
      <c r="N19" s="46">
        <f t="shared" si="5"/>
        <v>8</v>
      </c>
      <c r="O19" s="46">
        <f t="shared" si="5"/>
        <v>80</v>
      </c>
    </row>
    <row r="20" spans="3:15" outlineLevel="1">
      <c r="C20" s="4" t="s">
        <v>16</v>
      </c>
      <c r="D20" s="46">
        <v>0</v>
      </c>
      <c r="E20" s="47">
        <f t="shared" si="0"/>
        <v>0</v>
      </c>
      <c r="F20" s="46">
        <v>0</v>
      </c>
      <c r="G20" s="47">
        <f t="shared" si="1"/>
        <v>0</v>
      </c>
      <c r="H20" s="46">
        <v>0</v>
      </c>
      <c r="I20" s="47">
        <f t="shared" si="2"/>
        <v>0</v>
      </c>
      <c r="J20" s="46">
        <v>1</v>
      </c>
      <c r="K20" s="47">
        <f t="shared" si="3"/>
        <v>10</v>
      </c>
      <c r="L20" s="46"/>
      <c r="M20" s="47">
        <f t="shared" si="4"/>
        <v>0</v>
      </c>
      <c r="N20" s="46">
        <f t="shared" si="5"/>
        <v>1</v>
      </c>
      <c r="O20" s="46">
        <f t="shared" si="5"/>
        <v>10</v>
      </c>
    </row>
    <row r="21" spans="3:15" outlineLevel="1">
      <c r="C21" s="4" t="s">
        <v>17</v>
      </c>
      <c r="D21" s="46">
        <v>2</v>
      </c>
      <c r="E21" s="47">
        <f t="shared" si="0"/>
        <v>20</v>
      </c>
      <c r="F21" s="46">
        <v>3</v>
      </c>
      <c r="G21" s="47">
        <f t="shared" si="1"/>
        <v>30</v>
      </c>
      <c r="H21" s="46">
        <v>2</v>
      </c>
      <c r="I21" s="47">
        <f t="shared" si="2"/>
        <v>20</v>
      </c>
      <c r="J21" s="46">
        <v>1</v>
      </c>
      <c r="K21" s="47">
        <f t="shared" si="3"/>
        <v>10</v>
      </c>
      <c r="L21" s="46"/>
      <c r="M21" s="47">
        <f t="shared" si="4"/>
        <v>0</v>
      </c>
      <c r="N21" s="46">
        <f t="shared" si="5"/>
        <v>8</v>
      </c>
      <c r="O21" s="46">
        <f t="shared" si="5"/>
        <v>80</v>
      </c>
    </row>
    <row r="22" spans="3:15" outlineLevel="1">
      <c r="C22" s="4" t="s">
        <v>18</v>
      </c>
      <c r="D22" s="46">
        <v>1</v>
      </c>
      <c r="E22" s="47">
        <f t="shared" si="0"/>
        <v>10</v>
      </c>
      <c r="F22" s="46">
        <v>1</v>
      </c>
      <c r="G22" s="47">
        <f t="shared" si="1"/>
        <v>10</v>
      </c>
      <c r="H22" s="46">
        <v>0</v>
      </c>
      <c r="I22" s="47">
        <f t="shared" si="2"/>
        <v>0</v>
      </c>
      <c r="J22" s="46">
        <v>0</v>
      </c>
      <c r="K22" s="47">
        <f t="shared" si="3"/>
        <v>0</v>
      </c>
      <c r="L22" s="46"/>
      <c r="M22" s="47">
        <f t="shared" si="4"/>
        <v>0</v>
      </c>
      <c r="N22" s="46">
        <f t="shared" si="5"/>
        <v>2</v>
      </c>
      <c r="O22" s="46">
        <f t="shared" si="5"/>
        <v>20</v>
      </c>
    </row>
    <row r="23" spans="3:15" outlineLevel="1">
      <c r="C23" s="4" t="s">
        <v>19</v>
      </c>
      <c r="D23" s="46">
        <v>1</v>
      </c>
      <c r="E23" s="47">
        <f t="shared" si="0"/>
        <v>10</v>
      </c>
      <c r="F23" s="46">
        <v>1</v>
      </c>
      <c r="G23" s="47">
        <f t="shared" si="1"/>
        <v>10</v>
      </c>
      <c r="H23" s="46">
        <v>0</v>
      </c>
      <c r="I23" s="47">
        <f t="shared" si="2"/>
        <v>0</v>
      </c>
      <c r="J23" s="46">
        <v>0</v>
      </c>
      <c r="K23" s="47">
        <f t="shared" si="3"/>
        <v>0</v>
      </c>
      <c r="L23" s="46"/>
      <c r="M23" s="47">
        <f t="shared" si="4"/>
        <v>0</v>
      </c>
      <c r="N23" s="46">
        <f t="shared" si="5"/>
        <v>2</v>
      </c>
      <c r="O23" s="46">
        <f t="shared" si="5"/>
        <v>20</v>
      </c>
    </row>
    <row r="24" spans="3:15" outlineLevel="1">
      <c r="C24" s="4" t="s">
        <v>20</v>
      </c>
      <c r="D24" s="46">
        <v>0</v>
      </c>
      <c r="E24" s="47">
        <f t="shared" si="0"/>
        <v>0</v>
      </c>
      <c r="F24" s="46">
        <v>1</v>
      </c>
      <c r="G24" s="47">
        <f t="shared" si="1"/>
        <v>10</v>
      </c>
      <c r="H24" s="46">
        <v>3</v>
      </c>
      <c r="I24" s="47">
        <f t="shared" si="2"/>
        <v>30</v>
      </c>
      <c r="J24" s="46">
        <v>0</v>
      </c>
      <c r="K24" s="47">
        <f t="shared" si="3"/>
        <v>0</v>
      </c>
      <c r="L24" s="46"/>
      <c r="M24" s="47">
        <f t="shared" si="4"/>
        <v>0</v>
      </c>
      <c r="N24" s="46">
        <f t="shared" si="5"/>
        <v>4</v>
      </c>
      <c r="O24" s="46">
        <f t="shared" si="5"/>
        <v>40</v>
      </c>
    </row>
  </sheetData>
  <mergeCells count="7">
    <mergeCell ref="L3:M3"/>
    <mergeCell ref="Q5:S5"/>
    <mergeCell ref="D2:H2"/>
    <mergeCell ref="D3:E3"/>
    <mergeCell ref="F3:G3"/>
    <mergeCell ref="H3:I3"/>
    <mergeCell ref="J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>
    <tabColor theme="3"/>
  </sheetPr>
  <dimension ref="B2:P24"/>
  <sheetViews>
    <sheetView workbookViewId="0">
      <selection activeCell="D7" sqref="D7"/>
    </sheetView>
  </sheetViews>
  <sheetFormatPr defaultRowHeight="15" outlineLevelRow="1"/>
  <cols>
    <col min="2" max="2" width="11.7109375" bestFit="1" customWidth="1"/>
    <col min="3" max="3" width="10" bestFit="1" customWidth="1"/>
    <col min="4" max="7" width="9.28515625" bestFit="1" customWidth="1"/>
    <col min="9" max="9" width="11.42578125" bestFit="1" customWidth="1"/>
    <col min="10" max="10" width="0" hidden="1" customWidth="1"/>
    <col min="11" max="11" width="8.5703125" hidden="1" customWidth="1"/>
    <col min="12" max="12" width="0" hidden="1" customWidth="1"/>
    <col min="15" max="15" width="3" bestFit="1" customWidth="1"/>
  </cols>
  <sheetData>
    <row r="2" spans="2:16">
      <c r="D2" s="56" t="s">
        <v>21</v>
      </c>
      <c r="E2" s="56"/>
      <c r="F2" s="56"/>
      <c r="G2" s="56"/>
      <c r="H2" s="56"/>
    </row>
    <row r="3" spans="2:16">
      <c r="D3" s="10">
        <v>40562</v>
      </c>
      <c r="E3" s="22">
        <v>40563</v>
      </c>
      <c r="F3" s="22">
        <v>40564</v>
      </c>
      <c r="G3" s="22">
        <v>40565</v>
      </c>
      <c r="H3" s="22">
        <v>40566</v>
      </c>
      <c r="I3" s="13" t="s">
        <v>22</v>
      </c>
    </row>
    <row r="4" spans="2:16">
      <c r="B4" s="7" t="s">
        <v>0</v>
      </c>
      <c r="N4" s="20"/>
      <c r="O4" s="20"/>
      <c r="P4" s="20"/>
    </row>
    <row r="5" spans="2:16" outlineLevel="1">
      <c r="C5" s="4" t="s">
        <v>1</v>
      </c>
      <c r="D5" s="4">
        <f>Batting!E5+Bowling!E5+Fielding!E5</f>
        <v>17</v>
      </c>
      <c r="E5" s="4">
        <f>Batting!G5+Bowling!G5+Fielding!G5</f>
        <v>62</v>
      </c>
      <c r="F5" s="4">
        <f>Batting!I5+Bowling!I5+Fielding!I5</f>
        <v>21</v>
      </c>
      <c r="G5" s="4">
        <f>Batting!K5+Bowling!K5+Fielding!K5</f>
        <v>151</v>
      </c>
      <c r="H5" s="4">
        <f>Batting!M5+Bowling!M5+Fielding!M5</f>
        <v>0</v>
      </c>
      <c r="I5" s="4">
        <f>SUM(D5:H5)</f>
        <v>251</v>
      </c>
      <c r="J5">
        <f>SUM(D5:H5)</f>
        <v>251</v>
      </c>
      <c r="K5" s="2">
        <f t="shared" ref="K5:K14" si="0">COUNTIF(D5:H5,"&gt;=50")</f>
        <v>2</v>
      </c>
      <c r="L5" s="2">
        <f>COUNTIF(D5:H5,"&gt;=100")</f>
        <v>1</v>
      </c>
      <c r="N5" s="21"/>
      <c r="O5" s="21"/>
      <c r="P5" s="21"/>
    </row>
    <row r="6" spans="2:16" outlineLevel="1">
      <c r="C6" s="4" t="s">
        <v>2</v>
      </c>
      <c r="D6" s="4">
        <f>Batting!E6+Bowling!E6+Fielding!E6</f>
        <v>46</v>
      </c>
      <c r="E6" s="4">
        <f>Batting!G6+Bowling!G6+Fielding!G6</f>
        <v>17</v>
      </c>
      <c r="F6" s="4">
        <f>Batting!I6+Bowling!I6+Fielding!I6</f>
        <v>43</v>
      </c>
      <c r="G6" s="4">
        <f>Batting!K6+Bowling!K6+Fielding!K6</f>
        <v>11</v>
      </c>
      <c r="H6" s="4">
        <f>Batting!M6+Bowling!M6+Fielding!M6</f>
        <v>0</v>
      </c>
      <c r="I6" s="4">
        <f t="shared" ref="I6:I24" si="1">SUM(D6:H6)</f>
        <v>117</v>
      </c>
      <c r="K6" s="2">
        <f t="shared" si="0"/>
        <v>0</v>
      </c>
      <c r="L6" s="2">
        <f t="shared" ref="L6:L14" si="2">COUNTIF(D6:H6,"&gt;=100")</f>
        <v>0</v>
      </c>
      <c r="N6" s="20"/>
      <c r="O6" s="20"/>
      <c r="P6" s="20"/>
    </row>
    <row r="7" spans="2:16" outlineLevel="1">
      <c r="C7" s="4" t="s">
        <v>3</v>
      </c>
      <c r="D7" s="4">
        <f>Batting!E7+Bowling!E7+Fielding!E7</f>
        <v>22</v>
      </c>
      <c r="E7" s="4">
        <f>Batting!G7+Bowling!G7+Fielding!G7</f>
        <v>43</v>
      </c>
      <c r="F7" s="4">
        <f>Batting!I7+Bowling!I7+Fielding!I7</f>
        <v>12</v>
      </c>
      <c r="G7" s="4">
        <f>Batting!K7+Bowling!K7+Fielding!K7</f>
        <v>20</v>
      </c>
      <c r="H7" s="4">
        <f>Batting!M7+Bowling!M7+Fielding!M7</f>
        <v>0</v>
      </c>
      <c r="I7" s="4">
        <f t="shared" si="1"/>
        <v>97</v>
      </c>
      <c r="K7" s="2">
        <f t="shared" si="0"/>
        <v>0</v>
      </c>
      <c r="L7" s="2">
        <f t="shared" si="2"/>
        <v>0</v>
      </c>
      <c r="N7" s="20"/>
      <c r="O7" s="20"/>
      <c r="P7" s="20"/>
    </row>
    <row r="8" spans="2:16" outlineLevel="1">
      <c r="C8" s="4" t="s">
        <v>4</v>
      </c>
      <c r="D8" s="4">
        <f>Batting!E8+Bowling!E8+Fielding!E8</f>
        <v>84</v>
      </c>
      <c r="E8" s="4">
        <f>Batting!G8+Bowling!G8+Fielding!G8</f>
        <v>96</v>
      </c>
      <c r="F8" s="4">
        <f>Batting!I8+Bowling!I8+Fielding!I8</f>
        <v>62</v>
      </c>
      <c r="G8" s="4">
        <f>Batting!K8+Bowling!K8+Fielding!K8</f>
        <v>1</v>
      </c>
      <c r="H8" s="4">
        <f>Batting!M8+Bowling!M8+Fielding!M8</f>
        <v>0</v>
      </c>
      <c r="I8" s="4">
        <f t="shared" si="1"/>
        <v>243</v>
      </c>
      <c r="K8" s="2">
        <f t="shared" si="0"/>
        <v>3</v>
      </c>
      <c r="L8" s="2">
        <f t="shared" si="2"/>
        <v>0</v>
      </c>
      <c r="N8" s="20"/>
      <c r="O8" s="20"/>
      <c r="P8" s="20"/>
    </row>
    <row r="9" spans="2:16" outlineLevel="1">
      <c r="C9" s="4" t="s">
        <v>7</v>
      </c>
      <c r="D9" s="4">
        <f>Batting!E9+Bowling!E9+Fielding!E9</f>
        <v>23</v>
      </c>
      <c r="E9" s="4">
        <f>Batting!G9+Bowling!G9+Fielding!G9</f>
        <v>108</v>
      </c>
      <c r="F9" s="4">
        <f>Batting!I9+Bowling!I9+Fielding!I9</f>
        <v>3</v>
      </c>
      <c r="G9" s="4">
        <f>Batting!K9+Bowling!K9+Fielding!K9</f>
        <v>1</v>
      </c>
      <c r="H9" s="4">
        <f>Batting!M9+Bowling!M9+Fielding!M9</f>
        <v>0</v>
      </c>
      <c r="I9" s="4">
        <f t="shared" si="1"/>
        <v>135</v>
      </c>
      <c r="K9" s="2">
        <f t="shared" si="0"/>
        <v>1</v>
      </c>
      <c r="L9" s="2">
        <f t="shared" si="2"/>
        <v>1</v>
      </c>
      <c r="N9" s="20"/>
      <c r="O9" s="20"/>
      <c r="P9" s="20"/>
    </row>
    <row r="10" spans="2:16" outlineLevel="1">
      <c r="C10" s="4" t="s">
        <v>8</v>
      </c>
      <c r="D10" s="4">
        <f>Batting!E10+Bowling!E10+Fielding!E10</f>
        <v>77</v>
      </c>
      <c r="E10" s="4">
        <f>Batting!G10+Bowling!G10+Fielding!G10</f>
        <v>15</v>
      </c>
      <c r="F10" s="4">
        <f>Batting!I10+Bowling!I10+Fielding!I10</f>
        <v>34</v>
      </c>
      <c r="G10" s="4">
        <f>Batting!K10+Bowling!K10+Fielding!K10</f>
        <v>1</v>
      </c>
      <c r="H10" s="4">
        <f>Batting!M10+Bowling!M10+Fielding!M10</f>
        <v>0</v>
      </c>
      <c r="I10" s="4">
        <f t="shared" si="1"/>
        <v>127</v>
      </c>
      <c r="K10" s="2">
        <f t="shared" si="0"/>
        <v>1</v>
      </c>
      <c r="L10" s="2">
        <f t="shared" si="2"/>
        <v>0</v>
      </c>
      <c r="N10" s="20"/>
      <c r="O10" s="20"/>
      <c r="P10" s="20"/>
    </row>
    <row r="11" spans="2:16" outlineLevel="1">
      <c r="C11" s="4" t="s">
        <v>5</v>
      </c>
      <c r="D11" s="4">
        <f>Batting!E11+Bowling!E11+Fielding!E11</f>
        <v>55</v>
      </c>
      <c r="E11" s="4">
        <f>Batting!G11+Bowling!G11+Fielding!G11</f>
        <v>23</v>
      </c>
      <c r="F11" s="4">
        <f>Batting!I11+Bowling!I11+Fielding!I11</f>
        <v>61</v>
      </c>
      <c r="G11" s="4">
        <f>Batting!K11+Bowling!K11+Fielding!K11</f>
        <v>41</v>
      </c>
      <c r="H11" s="4">
        <f>Batting!M11+Bowling!M11+Fielding!M11</f>
        <v>0</v>
      </c>
      <c r="I11" s="4">
        <f t="shared" si="1"/>
        <v>180</v>
      </c>
      <c r="K11" s="2">
        <f t="shared" si="0"/>
        <v>2</v>
      </c>
      <c r="L11" s="2">
        <f t="shared" si="2"/>
        <v>0</v>
      </c>
      <c r="N11" s="20"/>
      <c r="O11" s="20"/>
      <c r="P11" s="20"/>
    </row>
    <row r="12" spans="2:16" outlineLevel="1">
      <c r="C12" s="4" t="s">
        <v>6</v>
      </c>
      <c r="D12" s="4">
        <f>Batting!E12+Bowling!E12+Fielding!E12</f>
        <v>85</v>
      </c>
      <c r="E12" s="4">
        <f>Batting!G12+Bowling!G12+Fielding!G12</f>
        <v>69</v>
      </c>
      <c r="F12" s="4">
        <f>Batting!I12+Bowling!I12+Fielding!I12</f>
        <v>122</v>
      </c>
      <c r="G12" s="4">
        <f>Batting!K12+Bowling!K12+Fielding!K12</f>
        <v>96</v>
      </c>
      <c r="H12" s="4">
        <f>Batting!M12+Bowling!M12+Fielding!M12</f>
        <v>0</v>
      </c>
      <c r="I12" s="4">
        <f t="shared" si="1"/>
        <v>372</v>
      </c>
      <c r="K12" s="2">
        <f t="shared" si="0"/>
        <v>4</v>
      </c>
      <c r="L12" s="2">
        <f t="shared" si="2"/>
        <v>1</v>
      </c>
      <c r="N12" s="20"/>
      <c r="O12" s="20"/>
      <c r="P12" s="20"/>
    </row>
    <row r="13" spans="2:16" outlineLevel="1">
      <c r="C13" s="4" t="s">
        <v>9</v>
      </c>
      <c r="D13" s="4">
        <f>Batting!E13+Bowling!E13+Fielding!E13</f>
        <v>106</v>
      </c>
      <c r="E13" s="4">
        <f>Batting!G13+Bowling!G13+Fielding!G13</f>
        <v>141</v>
      </c>
      <c r="F13" s="4">
        <f>Batting!I13+Bowling!I13+Fielding!I13</f>
        <v>131</v>
      </c>
      <c r="G13" s="4">
        <f>Batting!K13+Bowling!K13+Fielding!K13</f>
        <v>121</v>
      </c>
      <c r="H13" s="4">
        <f>Batting!M13+Bowling!M13+Fielding!M13</f>
        <v>0</v>
      </c>
      <c r="I13" s="4">
        <f t="shared" si="1"/>
        <v>499</v>
      </c>
      <c r="K13" s="2">
        <f t="shared" si="0"/>
        <v>4</v>
      </c>
      <c r="L13" s="2">
        <f t="shared" si="2"/>
        <v>4</v>
      </c>
      <c r="N13" s="20"/>
      <c r="O13" s="20"/>
      <c r="P13" s="20"/>
    </row>
    <row r="14" spans="2:16" outlineLevel="1">
      <c r="C14" s="4" t="s">
        <v>10</v>
      </c>
      <c r="D14" s="4">
        <f>Batting!E14+Bowling!E14+Fielding!E14</f>
        <v>52</v>
      </c>
      <c r="E14" s="4">
        <f>Batting!G14+Bowling!G14+Fielding!G14</f>
        <v>116</v>
      </c>
      <c r="F14" s="4">
        <f>Batting!I14+Bowling!I14+Fielding!I14</f>
        <v>99</v>
      </c>
      <c r="G14" s="4">
        <f>Batting!K14+Bowling!K14+Fielding!K14</f>
        <v>86</v>
      </c>
      <c r="H14" s="4">
        <f>Batting!M14+Bowling!M14+Fielding!M14</f>
        <v>0</v>
      </c>
      <c r="I14" s="4">
        <f t="shared" si="1"/>
        <v>353</v>
      </c>
      <c r="K14" s="2">
        <f t="shared" si="0"/>
        <v>4</v>
      </c>
      <c r="L14" s="2">
        <f t="shared" si="2"/>
        <v>1</v>
      </c>
    </row>
    <row r="15" spans="2:16">
      <c r="B15" s="7" t="s">
        <v>11</v>
      </c>
      <c r="C15" s="4"/>
      <c r="D15" s="4"/>
      <c r="E15" s="4"/>
      <c r="F15" s="4"/>
      <c r="G15" s="4"/>
      <c r="H15" s="4"/>
      <c r="I15" s="4"/>
    </row>
    <row r="16" spans="2:16" outlineLevel="1">
      <c r="C16" s="4" t="s">
        <v>12</v>
      </c>
      <c r="D16" s="4">
        <f>Batting!E16+Bowling!E16+Fielding!E16</f>
        <v>72</v>
      </c>
      <c r="E16" s="4">
        <f>Batting!G16+Bowling!G16+Fielding!G16</f>
        <v>86</v>
      </c>
      <c r="F16" s="4">
        <f>Batting!I16+Bowling!I16+Fielding!I16</f>
        <v>92</v>
      </c>
      <c r="G16" s="4">
        <f>Batting!K16+Bowling!K16+Fielding!K16</f>
        <v>20</v>
      </c>
      <c r="H16" s="4">
        <f>Batting!M16+Bowling!M16+Fielding!M16</f>
        <v>0</v>
      </c>
      <c r="I16" s="4">
        <f t="shared" si="1"/>
        <v>270</v>
      </c>
    </row>
    <row r="17" spans="3:9" outlineLevel="1">
      <c r="C17" s="4" t="s">
        <v>13</v>
      </c>
      <c r="D17" s="4">
        <f>Batting!E17+Bowling!E17+Fielding!E17</f>
        <v>27</v>
      </c>
      <c r="E17" s="4">
        <f>Batting!G17+Bowling!G17+Fielding!G17</f>
        <v>103</v>
      </c>
      <c r="F17" s="4">
        <f>Batting!I17+Bowling!I17+Fielding!I17</f>
        <v>23</v>
      </c>
      <c r="G17" s="4">
        <f>Batting!K17+Bowling!K17+Fielding!K17</f>
        <v>30</v>
      </c>
      <c r="H17" s="4">
        <f>Batting!M17+Bowling!M17+Fielding!M17</f>
        <v>0</v>
      </c>
      <c r="I17" s="4">
        <f t="shared" si="1"/>
        <v>183</v>
      </c>
    </row>
    <row r="18" spans="3:9" outlineLevel="1">
      <c r="C18" s="4" t="s">
        <v>14</v>
      </c>
      <c r="D18" s="4">
        <f>Batting!E18+Bowling!E18+Fielding!E18</f>
        <v>68</v>
      </c>
      <c r="E18" s="4">
        <f>Batting!G18+Bowling!G18+Fielding!G18</f>
        <v>15</v>
      </c>
      <c r="F18" s="4">
        <f>Batting!I18+Bowling!I18+Fielding!I18</f>
        <v>21</v>
      </c>
      <c r="G18" s="4">
        <f>Batting!K18+Bowling!K18+Fielding!K18</f>
        <v>2</v>
      </c>
      <c r="H18" s="4">
        <f>Batting!M18+Bowling!M18+Fielding!M18</f>
        <v>0</v>
      </c>
      <c r="I18" s="4">
        <f t="shared" si="1"/>
        <v>106</v>
      </c>
    </row>
    <row r="19" spans="3:9" outlineLevel="1">
      <c r="C19" s="4" t="s">
        <v>15</v>
      </c>
      <c r="D19" s="4">
        <f>Batting!E19+Bowling!E19+Fielding!E19</f>
        <v>116</v>
      </c>
      <c r="E19" s="4">
        <f>Batting!G19+Bowling!G19+Fielding!G19</f>
        <v>23</v>
      </c>
      <c r="F19" s="4">
        <f>Batting!I19+Bowling!I19+Fielding!I19</f>
        <v>24</v>
      </c>
      <c r="G19" s="4">
        <f>Batting!K19+Bowling!K19+Fielding!K19</f>
        <v>11</v>
      </c>
      <c r="H19" s="4">
        <f>Batting!M19+Bowling!M19+Fielding!M19</f>
        <v>0</v>
      </c>
      <c r="I19" s="4">
        <f t="shared" si="1"/>
        <v>174</v>
      </c>
    </row>
    <row r="20" spans="3:9" outlineLevel="1">
      <c r="C20" s="4" t="s">
        <v>16</v>
      </c>
      <c r="D20" s="4">
        <f>Batting!E20+Bowling!E20+Fielding!E20</f>
        <v>108</v>
      </c>
      <c r="E20" s="4">
        <f>Batting!G20+Bowling!G20+Fielding!G20</f>
        <v>9</v>
      </c>
      <c r="F20" s="4">
        <f>Batting!I20+Bowling!I20+Fielding!I20</f>
        <v>61</v>
      </c>
      <c r="G20" s="4">
        <f>Batting!K20+Bowling!K20+Fielding!K20</f>
        <v>11</v>
      </c>
      <c r="H20" s="4">
        <f>Batting!M20+Bowling!M20+Fielding!M20</f>
        <v>0</v>
      </c>
      <c r="I20" s="4">
        <f t="shared" si="1"/>
        <v>189</v>
      </c>
    </row>
    <row r="21" spans="3:9" outlineLevel="1">
      <c r="C21" s="4" t="s">
        <v>17</v>
      </c>
      <c r="D21" s="4">
        <f>Batting!E21+Bowling!E21+Fielding!E21</f>
        <v>25</v>
      </c>
      <c r="E21" s="4">
        <f>Batting!G21+Bowling!G21+Fielding!G21</f>
        <v>41</v>
      </c>
      <c r="F21" s="4">
        <f>Batting!I21+Bowling!I21+Fielding!I21</f>
        <v>21</v>
      </c>
      <c r="G21" s="4">
        <f>Batting!K21+Bowling!K21+Fielding!K21</f>
        <v>32</v>
      </c>
      <c r="H21" s="4">
        <f>Batting!M21+Bowling!M21+Fielding!M21</f>
        <v>0</v>
      </c>
      <c r="I21" s="4">
        <f t="shared" si="1"/>
        <v>119</v>
      </c>
    </row>
    <row r="22" spans="3:9" outlineLevel="1">
      <c r="C22" s="4" t="s">
        <v>18</v>
      </c>
      <c r="D22" s="4">
        <f>Batting!E22+Bowling!E22+Fielding!E22</f>
        <v>98</v>
      </c>
      <c r="E22" s="4">
        <f>Batting!G22+Bowling!G22+Fielding!G22</f>
        <v>134</v>
      </c>
      <c r="F22" s="4">
        <f>Batting!I22+Bowling!I22+Fielding!I22</f>
        <v>176</v>
      </c>
      <c r="G22" s="4">
        <f>Batting!K22+Bowling!K22+Fielding!K22</f>
        <v>131</v>
      </c>
      <c r="H22" s="4">
        <f>Batting!M22+Bowling!M22+Fielding!M22</f>
        <v>0</v>
      </c>
      <c r="I22" s="4">
        <f t="shared" si="1"/>
        <v>539</v>
      </c>
    </row>
    <row r="23" spans="3:9" outlineLevel="1">
      <c r="C23" s="4" t="s">
        <v>19</v>
      </c>
      <c r="D23" s="4">
        <f>Batting!E23+Bowling!E23+Fielding!E23</f>
        <v>104</v>
      </c>
      <c r="E23" s="4">
        <f>Batting!G23+Bowling!G23+Fielding!G23</f>
        <v>172</v>
      </c>
      <c r="F23" s="4">
        <f>Batting!I23+Bowling!I23+Fielding!I23</f>
        <v>123</v>
      </c>
      <c r="G23" s="4">
        <f>Batting!K23+Bowling!K23+Fielding!K23</f>
        <v>48</v>
      </c>
      <c r="H23" s="4">
        <f>Batting!M23+Bowling!M23+Fielding!M23</f>
        <v>0</v>
      </c>
      <c r="I23" s="4">
        <f t="shared" si="1"/>
        <v>447</v>
      </c>
    </row>
    <row r="24" spans="3:9" outlineLevel="1">
      <c r="C24" s="4" t="s">
        <v>20</v>
      </c>
      <c r="D24" s="4">
        <f>Batting!E24+Bowling!E24+Fielding!E24</f>
        <v>61</v>
      </c>
      <c r="E24" s="4">
        <f>Batting!G24+Bowling!G24+Fielding!G24</f>
        <v>44</v>
      </c>
      <c r="F24" s="4">
        <f>Batting!I24+Bowling!I24+Fielding!I24</f>
        <v>56</v>
      </c>
      <c r="G24" s="4">
        <f>Batting!K24+Bowling!K24+Fielding!K24</f>
        <v>26</v>
      </c>
      <c r="H24" s="4">
        <f>Batting!M24+Bowling!M24+Fielding!M24</f>
        <v>0</v>
      </c>
      <c r="I24" s="4">
        <f t="shared" si="1"/>
        <v>187</v>
      </c>
    </row>
  </sheetData>
  <mergeCells count="1">
    <mergeCell ref="D2:H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>
    <tabColor rgb="FFFFFF00"/>
  </sheetPr>
  <dimension ref="B2:C21"/>
  <sheetViews>
    <sheetView workbookViewId="0">
      <selection activeCell="D23" sqref="D23"/>
    </sheetView>
  </sheetViews>
  <sheetFormatPr defaultRowHeight="15"/>
  <cols>
    <col min="2" max="2" width="10" bestFit="1" customWidth="1"/>
  </cols>
  <sheetData>
    <row r="2" spans="2:3">
      <c r="B2" s="3" t="s">
        <v>23</v>
      </c>
      <c r="C2" s="3" t="s">
        <v>52</v>
      </c>
    </row>
    <row r="3" spans="2:3">
      <c r="B3" s="4" t="s">
        <v>1</v>
      </c>
      <c r="C3" s="4">
        <v>20</v>
      </c>
    </row>
    <row r="4" spans="2:3">
      <c r="B4" s="4" t="s">
        <v>2</v>
      </c>
      <c r="C4" s="4">
        <v>18</v>
      </c>
    </row>
    <row r="5" spans="2:3">
      <c r="B5" s="4" t="s">
        <v>3</v>
      </c>
      <c r="C5" s="4">
        <v>10</v>
      </c>
    </row>
    <row r="6" spans="2:3">
      <c r="B6" s="4" t="s">
        <v>4</v>
      </c>
      <c r="C6" s="4">
        <v>8</v>
      </c>
    </row>
    <row r="7" spans="2:3">
      <c r="B7" s="4" t="s">
        <v>7</v>
      </c>
      <c r="C7" s="4">
        <v>9</v>
      </c>
    </row>
    <row r="8" spans="2:3">
      <c r="B8" s="4" t="s">
        <v>8</v>
      </c>
      <c r="C8" s="4">
        <v>7</v>
      </c>
    </row>
    <row r="9" spans="2:3">
      <c r="B9" s="4" t="s">
        <v>5</v>
      </c>
      <c r="C9" s="4">
        <v>14</v>
      </c>
    </row>
    <row r="10" spans="2:3">
      <c r="B10" s="4" t="s">
        <v>6</v>
      </c>
      <c r="C10" s="4">
        <v>12</v>
      </c>
    </row>
    <row r="11" spans="2:3">
      <c r="B11" s="4" t="s">
        <v>9</v>
      </c>
      <c r="C11" s="4">
        <v>10</v>
      </c>
    </row>
    <row r="12" spans="2:3">
      <c r="B12" s="4" t="s">
        <v>10</v>
      </c>
      <c r="C12" s="4">
        <v>6</v>
      </c>
    </row>
    <row r="13" spans="2:3">
      <c r="B13" s="4" t="s">
        <v>12</v>
      </c>
      <c r="C13" s="4">
        <v>16</v>
      </c>
    </row>
    <row r="14" spans="2:3">
      <c r="B14" s="4" t="s">
        <v>13</v>
      </c>
      <c r="C14" s="4">
        <v>14</v>
      </c>
    </row>
    <row r="15" spans="2:3">
      <c r="B15" s="4" t="s">
        <v>14</v>
      </c>
      <c r="C15" s="4">
        <v>20</v>
      </c>
    </row>
    <row r="16" spans="2:3">
      <c r="B16" s="4" t="s">
        <v>15</v>
      </c>
      <c r="C16" s="4">
        <v>15</v>
      </c>
    </row>
    <row r="17" spans="2:3">
      <c r="B17" s="4" t="s">
        <v>16</v>
      </c>
      <c r="C17" s="4">
        <v>12</v>
      </c>
    </row>
    <row r="18" spans="2:3">
      <c r="B18" s="4" t="s">
        <v>17</v>
      </c>
      <c r="C18" s="4">
        <v>8</v>
      </c>
    </row>
    <row r="19" spans="2:3">
      <c r="B19" s="4" t="s">
        <v>18</v>
      </c>
      <c r="C19" s="4">
        <v>18</v>
      </c>
    </row>
    <row r="20" spans="2:3">
      <c r="B20" s="4" t="s">
        <v>19</v>
      </c>
      <c r="C20" s="4">
        <v>16</v>
      </c>
    </row>
    <row r="21" spans="2:3">
      <c r="B21" s="4" t="s">
        <v>20</v>
      </c>
      <c r="C21" s="4">
        <v>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H5"/>
  <sheetViews>
    <sheetView workbookViewId="0">
      <selection activeCell="E22" sqref="E22"/>
    </sheetView>
  </sheetViews>
  <sheetFormatPr defaultRowHeight="15"/>
  <cols>
    <col min="1" max="1" width="9.7109375" style="23" bestFit="1" customWidth="1"/>
    <col min="2" max="2" width="9.7109375" style="23" customWidth="1"/>
    <col min="8" max="8" width="8.42578125" bestFit="1" customWidth="1"/>
  </cols>
  <sheetData>
    <row r="1" spans="1:8">
      <c r="A1" s="24" t="s">
        <v>45</v>
      </c>
      <c r="B1" s="24" t="s">
        <v>24</v>
      </c>
      <c r="C1" s="25" t="s">
        <v>46</v>
      </c>
      <c r="D1" s="25" t="s">
        <v>47</v>
      </c>
      <c r="E1" s="25" t="s">
        <v>48</v>
      </c>
      <c r="F1" s="25" t="s">
        <v>49</v>
      </c>
      <c r="G1" s="25" t="s">
        <v>50</v>
      </c>
      <c r="H1" s="25" t="s">
        <v>40</v>
      </c>
    </row>
    <row r="2" spans="1:8">
      <c r="A2" s="23">
        <v>40562</v>
      </c>
      <c r="B2" s="23" t="s">
        <v>54</v>
      </c>
      <c r="C2" t="s">
        <v>4</v>
      </c>
      <c r="D2" t="s">
        <v>17</v>
      </c>
      <c r="E2" t="s">
        <v>19</v>
      </c>
      <c r="F2" t="s">
        <v>9</v>
      </c>
      <c r="G2" t="s">
        <v>10</v>
      </c>
      <c r="H2">
        <v>371</v>
      </c>
    </row>
    <row r="3" spans="1:8">
      <c r="A3" s="23">
        <v>40562</v>
      </c>
      <c r="B3" s="23" t="s">
        <v>55</v>
      </c>
      <c r="C3" t="s">
        <v>10</v>
      </c>
      <c r="D3" t="s">
        <v>17</v>
      </c>
      <c r="E3" t="s">
        <v>4</v>
      </c>
      <c r="F3" t="s">
        <v>6</v>
      </c>
      <c r="G3" t="s">
        <v>7</v>
      </c>
      <c r="H3">
        <v>269</v>
      </c>
    </row>
    <row r="4" spans="1:8">
      <c r="A4" s="23">
        <v>40562</v>
      </c>
      <c r="B4" s="23" t="s">
        <v>56</v>
      </c>
      <c r="C4" t="s">
        <v>7</v>
      </c>
      <c r="D4" t="s">
        <v>10</v>
      </c>
      <c r="E4" t="s">
        <v>17</v>
      </c>
      <c r="F4" t="s">
        <v>16</v>
      </c>
      <c r="G4" t="s">
        <v>8</v>
      </c>
      <c r="H4">
        <v>285</v>
      </c>
    </row>
    <row r="5" spans="1:8">
      <c r="A5" s="23">
        <v>40562</v>
      </c>
      <c r="B5" s="23" t="s">
        <v>59</v>
      </c>
      <c r="C5" t="s">
        <v>4</v>
      </c>
      <c r="D5" t="s">
        <v>6</v>
      </c>
      <c r="E5" t="s">
        <v>10</v>
      </c>
      <c r="F5" t="s">
        <v>8</v>
      </c>
      <c r="G5" t="s">
        <v>19</v>
      </c>
      <c r="H5">
        <v>402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G5"/>
  <sheetViews>
    <sheetView workbookViewId="0">
      <selection activeCell="K13" sqref="K13"/>
    </sheetView>
  </sheetViews>
  <sheetFormatPr defaultRowHeight="15"/>
  <cols>
    <col min="2" max="6" width="9.28515625" bestFit="1" customWidth="1"/>
  </cols>
  <sheetData>
    <row r="1" spans="1:7">
      <c r="A1" s="39" t="s">
        <v>24</v>
      </c>
      <c r="B1" s="40">
        <v>40562</v>
      </c>
      <c r="C1" s="40">
        <v>40563</v>
      </c>
      <c r="D1" s="40">
        <v>40564</v>
      </c>
      <c r="E1" s="40">
        <v>40565</v>
      </c>
      <c r="F1" s="40">
        <v>40566</v>
      </c>
      <c r="G1" s="40" t="s">
        <v>51</v>
      </c>
    </row>
    <row r="2" spans="1:7">
      <c r="A2" t="s">
        <v>54</v>
      </c>
      <c r="B2">
        <v>371</v>
      </c>
      <c r="G2">
        <f>SUM(B2:F2)</f>
        <v>371</v>
      </c>
    </row>
    <row r="3" spans="1:7">
      <c r="A3" t="s">
        <v>55</v>
      </c>
      <c r="B3">
        <v>269</v>
      </c>
      <c r="G3">
        <f>SUM(B3:F3)</f>
        <v>269</v>
      </c>
    </row>
    <row r="4" spans="1:7">
      <c r="A4" t="s">
        <v>56</v>
      </c>
      <c r="B4">
        <v>285</v>
      </c>
      <c r="G4">
        <f>SUM(B4:F4)</f>
        <v>285</v>
      </c>
    </row>
    <row r="5" spans="1:7">
      <c r="A5" t="s">
        <v>59</v>
      </c>
      <c r="B5">
        <v>402</v>
      </c>
      <c r="G5">
        <f>SUM(B5:F5)</f>
        <v>402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D4"/>
  <sheetViews>
    <sheetView workbookViewId="0">
      <selection activeCell="A2" sqref="A2"/>
    </sheetView>
  </sheetViews>
  <sheetFormatPr defaultRowHeight="15"/>
  <cols>
    <col min="2" max="2" width="9.7109375" bestFit="1" customWidth="1"/>
  </cols>
  <sheetData>
    <row r="1" spans="1:4">
      <c r="A1" s="39" t="s">
        <v>24</v>
      </c>
      <c r="B1" s="39" t="s">
        <v>45</v>
      </c>
      <c r="C1" s="39" t="s">
        <v>61</v>
      </c>
      <c r="D1" s="39" t="s">
        <v>62</v>
      </c>
    </row>
    <row r="2" spans="1:4">
      <c r="A2" t="s">
        <v>55</v>
      </c>
      <c r="B2" s="49">
        <v>40567</v>
      </c>
      <c r="C2" t="s">
        <v>8</v>
      </c>
      <c r="D2" t="s">
        <v>6</v>
      </c>
    </row>
    <row r="3" spans="1:4">
      <c r="A3" t="s">
        <v>56</v>
      </c>
      <c r="B3" s="49">
        <v>40567</v>
      </c>
      <c r="C3" t="s">
        <v>20</v>
      </c>
      <c r="D3" t="s">
        <v>7</v>
      </c>
    </row>
    <row r="4" spans="1:4">
      <c r="A4" t="s">
        <v>56</v>
      </c>
      <c r="B4" s="49">
        <v>40567</v>
      </c>
      <c r="C4" t="s">
        <v>19</v>
      </c>
      <c r="D4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Main</vt:lpstr>
      <vt:lpstr>TeamConfig</vt:lpstr>
      <vt:lpstr>Batting</vt:lpstr>
      <vt:lpstr>Bowling</vt:lpstr>
      <vt:lpstr>Fielding</vt:lpstr>
      <vt:lpstr>Score</vt:lpstr>
      <vt:lpstr>PlayerPool</vt:lpstr>
      <vt:lpstr>DailyTeamScore</vt:lpstr>
      <vt:lpstr>TotalTeamScore</vt:lpstr>
      <vt:lpstr>SubstitutionLog</vt:lpstr>
      <vt:lpstr>abc</vt:lpstr>
      <vt:lpstr>batting</vt:lpstr>
      <vt:lpstr>bowling</vt:lpstr>
      <vt:lpstr>Fielding</vt:lpstr>
      <vt:lpstr>Player</vt:lpstr>
      <vt:lpstr>Score</vt:lpstr>
      <vt:lpstr>score_d</vt:lpstr>
      <vt:lpstr>score_p</vt:lpstr>
      <vt:lpstr>Team1</vt:lpstr>
      <vt:lpstr>Universal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Sameer</dc:creator>
  <cp:lastModifiedBy>Sameer</cp:lastModifiedBy>
  <dcterms:created xsi:type="dcterms:W3CDTF">2011-01-13T07:39:30Z</dcterms:created>
  <dcterms:modified xsi:type="dcterms:W3CDTF">2011-01-24T08:55:38Z</dcterms:modified>
</cp:coreProperties>
</file>