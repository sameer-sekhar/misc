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50" windowWidth="19420" windowHeight="8000" activeTab="5"/>
  </bookViews>
  <sheets>
    <sheet name="Team" sheetId="2" r:id="rId1"/>
    <sheet name="Batting" sheetId="1" r:id="rId2"/>
    <sheet name="Bowling" sheetId="3" r:id="rId3"/>
    <sheet name="Fielding" sheetId="4" r:id="rId4"/>
    <sheet name="Player" sheetId="5" r:id="rId5"/>
    <sheet name="Sheet1" sheetId="6" r:id="rId6"/>
  </sheets>
  <definedNames>
    <definedName name="batting">Batting!$C$5:$J$24</definedName>
    <definedName name="bowling">Bowling!$C$5:$J$24</definedName>
    <definedName name="Fielding">Fielding!$C$5:$J$24</definedName>
    <definedName name="list1">Team!$H$14:$H$17</definedName>
    <definedName name="Player">Player!$B$3:$B$21</definedName>
    <definedName name="Universal">Player!$B$2:$C$21</definedName>
  </definedNames>
  <calcPr calcId="124519"/>
</workbook>
</file>

<file path=xl/calcChain.xml><?xml version="1.0" encoding="utf-8"?>
<calcChain xmlns="http://schemas.openxmlformats.org/spreadsheetml/2006/main">
  <c r="B3" i="6"/>
  <c r="B4"/>
  <c r="C4"/>
  <c r="D4"/>
  <c r="E4"/>
  <c r="F4"/>
  <c r="G4"/>
  <c r="B5"/>
  <c r="C5"/>
  <c r="D5"/>
  <c r="E5"/>
  <c r="F5"/>
  <c r="G5"/>
  <c r="B6"/>
  <c r="C6"/>
  <c r="D6"/>
  <c r="E6"/>
  <c r="F6"/>
  <c r="G6"/>
  <c r="B7"/>
  <c r="C7"/>
  <c r="D7"/>
  <c r="E7"/>
  <c r="F7"/>
  <c r="G7"/>
  <c r="B8"/>
  <c r="C8"/>
  <c r="D8"/>
  <c r="E8"/>
  <c r="F8"/>
  <c r="G8"/>
  <c r="B9"/>
  <c r="C9"/>
  <c r="D9"/>
  <c r="E9"/>
  <c r="F9"/>
  <c r="G9"/>
  <c r="B10"/>
  <c r="C10"/>
  <c r="D10"/>
  <c r="E10"/>
  <c r="F10"/>
  <c r="G10"/>
  <c r="B11"/>
  <c r="C11"/>
  <c r="D11"/>
  <c r="E11"/>
  <c r="F11"/>
  <c r="G11"/>
  <c r="B12"/>
  <c r="C12"/>
  <c r="D12"/>
  <c r="E12"/>
  <c r="F12"/>
  <c r="G12"/>
  <c r="B13"/>
  <c r="C13"/>
  <c r="D13"/>
  <c r="E13"/>
  <c r="F13"/>
  <c r="G13"/>
  <c r="B14"/>
  <c r="C14"/>
  <c r="D14"/>
  <c r="E14"/>
  <c r="F14"/>
  <c r="G14"/>
  <c r="B15"/>
  <c r="C15"/>
  <c r="D15"/>
  <c r="E15"/>
  <c r="F15"/>
  <c r="G15"/>
  <c r="C3"/>
  <c r="D3"/>
  <c r="E3"/>
  <c r="F3"/>
  <c r="G3"/>
  <c r="J16" i="3"/>
  <c r="D19" i="2" s="1"/>
  <c r="J17" i="3"/>
  <c r="J18"/>
  <c r="J19"/>
  <c r="J20"/>
  <c r="D31" i="2" s="1"/>
  <c r="J21" i="3"/>
  <c r="J22"/>
  <c r="J23"/>
  <c r="J24"/>
  <c r="D39" i="2" s="1"/>
  <c r="J6" i="3"/>
  <c r="J7"/>
  <c r="J8"/>
  <c r="J9"/>
  <c r="J10"/>
  <c r="J11"/>
  <c r="J12"/>
  <c r="J13"/>
  <c r="J14"/>
  <c r="D12" i="2" s="1"/>
  <c r="J5" i="3"/>
  <c r="E40" i="2"/>
  <c r="D40"/>
  <c r="C40"/>
  <c r="B40"/>
  <c r="E39"/>
  <c r="C39"/>
  <c r="B39"/>
  <c r="E38"/>
  <c r="D38"/>
  <c r="C38"/>
  <c r="B38"/>
  <c r="E37"/>
  <c r="D37"/>
  <c r="C37"/>
  <c r="B37"/>
  <c r="E36"/>
  <c r="D36"/>
  <c r="C36"/>
  <c r="B36"/>
  <c r="E35"/>
  <c r="D35"/>
  <c r="C35"/>
  <c r="B35"/>
  <c r="E34"/>
  <c r="D34"/>
  <c r="C34"/>
  <c r="B34"/>
  <c r="E33"/>
  <c r="D33"/>
  <c r="C33"/>
  <c r="B33"/>
  <c r="E32"/>
  <c r="D32"/>
  <c r="C32"/>
  <c r="B32"/>
  <c r="E31"/>
  <c r="C31"/>
  <c r="B31"/>
  <c r="E30"/>
  <c r="D30"/>
  <c r="C30"/>
  <c r="B30"/>
  <c r="E27"/>
  <c r="D27"/>
  <c r="C27"/>
  <c r="B27"/>
  <c r="E26"/>
  <c r="D26"/>
  <c r="C26"/>
  <c r="B26"/>
  <c r="E25"/>
  <c r="D25"/>
  <c r="C25"/>
  <c r="B25"/>
  <c r="E24"/>
  <c r="D24"/>
  <c r="C24"/>
  <c r="B24"/>
  <c r="E23"/>
  <c r="D23"/>
  <c r="C23"/>
  <c r="B23"/>
  <c r="E22"/>
  <c r="D22"/>
  <c r="C22"/>
  <c r="B22"/>
  <c r="E21"/>
  <c r="D21"/>
  <c r="C21"/>
  <c r="B21"/>
  <c r="E20"/>
  <c r="D20"/>
  <c r="C20"/>
  <c r="B20"/>
  <c r="E19"/>
  <c r="C19"/>
  <c r="B19"/>
  <c r="E18"/>
  <c r="D18"/>
  <c r="C18"/>
  <c r="B18"/>
  <c r="E17"/>
  <c r="D17"/>
  <c r="C17"/>
  <c r="B17"/>
  <c r="B9"/>
  <c r="C9"/>
  <c r="D9"/>
  <c r="E9"/>
  <c r="B10"/>
  <c r="C10"/>
  <c r="D10"/>
  <c r="E10"/>
  <c r="B11"/>
  <c r="C11"/>
  <c r="D11"/>
  <c r="E11"/>
  <c r="B12"/>
  <c r="C12"/>
  <c r="E12"/>
  <c r="B13"/>
  <c r="C13"/>
  <c r="D13"/>
  <c r="E13"/>
  <c r="B14"/>
  <c r="C14"/>
  <c r="D14"/>
  <c r="E14"/>
  <c r="E6"/>
  <c r="E7"/>
  <c r="B5"/>
  <c r="B6"/>
  <c r="B7"/>
  <c r="B8"/>
  <c r="B4"/>
  <c r="J17" i="4"/>
  <c r="J21"/>
  <c r="I24"/>
  <c r="J24" s="1"/>
  <c r="I23"/>
  <c r="J23" s="1"/>
  <c r="I22"/>
  <c r="J22" s="1"/>
  <c r="I21"/>
  <c r="I20"/>
  <c r="J20" s="1"/>
  <c r="I19"/>
  <c r="J19" s="1"/>
  <c r="I18"/>
  <c r="J18" s="1"/>
  <c r="I17"/>
  <c r="I16"/>
  <c r="J16" s="1"/>
  <c r="I14"/>
  <c r="J14" s="1"/>
  <c r="I13"/>
  <c r="J13" s="1"/>
  <c r="I12"/>
  <c r="J12" s="1"/>
  <c r="I11"/>
  <c r="J11" s="1"/>
  <c r="E5" i="2" s="1"/>
  <c r="I10" i="4"/>
  <c r="J10" s="1"/>
  <c r="E8" i="2" s="1"/>
  <c r="I9" i="4"/>
  <c r="J9" s="1"/>
  <c r="I8"/>
  <c r="J8" s="1"/>
  <c r="I7"/>
  <c r="J7" s="1"/>
  <c r="E4" i="2" s="1"/>
  <c r="I6" i="4"/>
  <c r="J6" s="1"/>
  <c r="I5"/>
  <c r="J5" s="1"/>
  <c r="I24" i="3"/>
  <c r="I23"/>
  <c r="I22"/>
  <c r="I21"/>
  <c r="I20"/>
  <c r="I19"/>
  <c r="I18"/>
  <c r="I17"/>
  <c r="I16"/>
  <c r="I14"/>
  <c r="D6" i="2" s="1"/>
  <c r="I13" i="3"/>
  <c r="I12"/>
  <c r="I11"/>
  <c r="I10"/>
  <c r="D8" i="2" s="1"/>
  <c r="I9" i="3"/>
  <c r="I8"/>
  <c r="I7"/>
  <c r="D4" i="2" s="1"/>
  <c r="I6" i="3"/>
  <c r="I5"/>
  <c r="I17" i="1"/>
  <c r="J17" s="1"/>
  <c r="I18"/>
  <c r="J18" s="1"/>
  <c r="I19"/>
  <c r="J19" s="1"/>
  <c r="I20"/>
  <c r="J20" s="1"/>
  <c r="I21"/>
  <c r="J21" s="1"/>
  <c r="I22"/>
  <c r="J22" s="1"/>
  <c r="I23"/>
  <c r="J23" s="1"/>
  <c r="I24"/>
  <c r="J24" s="1"/>
  <c r="I16"/>
  <c r="J16" s="1"/>
  <c r="I6"/>
  <c r="J6" s="1"/>
  <c r="C4" i="2" s="1"/>
  <c r="I7" i="1"/>
  <c r="J7" s="1"/>
  <c r="I8"/>
  <c r="J8" s="1"/>
  <c r="I9"/>
  <c r="J9" s="1"/>
  <c r="I10"/>
  <c r="J10" s="1"/>
  <c r="C8" i="2" s="1"/>
  <c r="I11" i="1"/>
  <c r="J11" s="1"/>
  <c r="C5" i="2" s="1"/>
  <c r="I12" i="1"/>
  <c r="J12" s="1"/>
  <c r="I13"/>
  <c r="J13" s="1"/>
  <c r="I14"/>
  <c r="J14" s="1"/>
  <c r="C6" i="2" s="1"/>
  <c r="L5" i="1"/>
  <c r="I5"/>
  <c r="J5" s="1"/>
  <c r="M6"/>
  <c r="M7"/>
  <c r="M8"/>
  <c r="M9"/>
  <c r="M10"/>
  <c r="M11"/>
  <c r="M12"/>
  <c r="M13"/>
  <c r="M14"/>
  <c r="M5"/>
  <c r="L6"/>
  <c r="L7"/>
  <c r="L8"/>
  <c r="L9"/>
  <c r="L10"/>
  <c r="L11"/>
  <c r="L12"/>
  <c r="L13"/>
  <c r="L14"/>
  <c r="K5"/>
  <c r="E16" i="2" l="1"/>
  <c r="F23"/>
  <c r="D5"/>
  <c r="F5" s="1"/>
  <c r="F27"/>
  <c r="F39"/>
  <c r="F24"/>
  <c r="F25"/>
  <c r="F30"/>
  <c r="F31"/>
  <c r="F32"/>
  <c r="F33"/>
  <c r="F35"/>
  <c r="F37"/>
  <c r="F38"/>
  <c r="F12"/>
  <c r="F18"/>
  <c r="F19"/>
  <c r="F20"/>
  <c r="F21"/>
  <c r="F22"/>
  <c r="F40"/>
  <c r="F36"/>
  <c r="D29"/>
  <c r="F34"/>
  <c r="B29"/>
  <c r="E29"/>
  <c r="F26"/>
  <c r="D16"/>
  <c r="B16"/>
  <c r="F17"/>
  <c r="C29"/>
  <c r="C16"/>
  <c r="F13"/>
  <c r="B3"/>
  <c r="F10"/>
  <c r="F9"/>
  <c r="F14"/>
  <c r="F11"/>
  <c r="D7"/>
  <c r="F6"/>
  <c r="F8"/>
  <c r="F4"/>
  <c r="E3"/>
  <c r="C7"/>
  <c r="F16" l="1"/>
  <c r="D3"/>
  <c r="F29"/>
  <c r="F7"/>
  <c r="C3"/>
  <c r="F3" l="1"/>
</calcChain>
</file>

<file path=xl/sharedStrings.xml><?xml version="1.0" encoding="utf-8"?>
<sst xmlns="http://schemas.openxmlformats.org/spreadsheetml/2006/main" count="152" uniqueCount="47">
  <si>
    <t>India</t>
  </si>
  <si>
    <t>Sachin</t>
  </si>
  <si>
    <t>Sehwag</t>
  </si>
  <si>
    <t>Gambhir</t>
  </si>
  <si>
    <t>Viraat</t>
  </si>
  <si>
    <t>Dhoni</t>
  </si>
  <si>
    <t>Harbhajan</t>
  </si>
  <si>
    <t>Rohit</t>
  </si>
  <si>
    <t>Raina</t>
  </si>
  <si>
    <t>Zaheer</t>
  </si>
  <si>
    <t>Praveen</t>
  </si>
  <si>
    <t>South Africa</t>
  </si>
  <si>
    <t>Amla</t>
  </si>
  <si>
    <t>Smith</t>
  </si>
  <si>
    <t>Kallis</t>
  </si>
  <si>
    <t>Deviliers</t>
  </si>
  <si>
    <t>Duminy</t>
  </si>
  <si>
    <t>Boucher</t>
  </si>
  <si>
    <t>Steyn</t>
  </si>
  <si>
    <t>Morkel</t>
  </si>
  <si>
    <t>Parnell</t>
  </si>
  <si>
    <t>Match</t>
  </si>
  <si>
    <t>Total Points</t>
  </si>
  <si>
    <t>Runs</t>
  </si>
  <si>
    <t>1 Run = 1 point</t>
  </si>
  <si>
    <t>50 = 10 Bonus</t>
  </si>
  <si>
    <t>100 = 20 Bonus</t>
  </si>
  <si>
    <t>4 Wicket = 20 Bonus</t>
  </si>
  <si>
    <t>5 or more wicket = 25 Bonus</t>
  </si>
  <si>
    <t>Wickets</t>
  </si>
  <si>
    <t>Catches/Runouts/Stumpings</t>
  </si>
  <si>
    <t>1 Catch/Runout/Stumping = 5 points</t>
  </si>
  <si>
    <t>Rank</t>
  </si>
  <si>
    <t>Player</t>
  </si>
  <si>
    <t>Team1</t>
  </si>
  <si>
    <t>Team2</t>
  </si>
  <si>
    <t>Team3</t>
  </si>
  <si>
    <t>Batting</t>
  </si>
  <si>
    <t>Bowling</t>
  </si>
  <si>
    <t>Fielding</t>
  </si>
  <si>
    <t>Total</t>
  </si>
  <si>
    <t>Team</t>
  </si>
  <si>
    <t>1 Wicket = 20 point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</si>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</sst>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0" fillId="0" borderId="0" xfId="0" applyProtection="1"/>
    <xf numFmtId="0" fontId="0" fillId="3" borderId="1" xfId="0" applyFill="1" applyBorder="1" applyProtection="1"/>
    <xf numFmtId="0" fontId="3" fillId="4" borderId="1" xfId="0" applyFont="1" applyFill="1" applyBorder="1"/>
    <xf numFmtId="0" fontId="3" fillId="4" borderId="1" xfId="0" applyFont="1" applyFill="1" applyBorder="1" applyProtection="1"/>
    <xf numFmtId="0" fontId="2" fillId="5" borderId="0" xfId="0" applyFont="1" applyFill="1"/>
    <xf numFmtId="0" fontId="2" fillId="5" borderId="1" xfId="0" applyFont="1" applyFill="1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rAngAx val="1"/>
    </c:view3D>
    <c:plotArea>
      <c:layout>
        <c:manualLayout>
          <c:layoutTarget val="inner"/>
          <c:xMode val="edge"/>
          <c:yMode val="edge"/>
          <c:x val="0.13898509078117818"/>
          <c:y val="1.9714159817614044E-2"/>
          <c:w val="0.70596466163379079"/>
          <c:h val="0.8939576987183171"/>
        </c:manualLayout>
      </c:layout>
      <c:bar3DChart>
        <c:barDir val="col"/>
        <c:grouping val="stacked"/>
        <c:ser>
          <c:idx val="2"/>
          <c:order val="0"/>
          <c:tx>
            <c:strRef>
              <c:f>Team!$C$2</c:f>
              <c:strCache>
                <c:ptCount val="1"/>
                <c:pt idx="0">
                  <c:v>Batting</c:v>
                </c:pt>
              </c:strCache>
            </c:strRef>
          </c:tx>
          <c:cat>
            <c:strRef>
              <c:f>(Team!$A$3,Team!$A$16,Team!$A$29)</c:f>
              <c:strCache>
                <c:ptCount val="3"/>
                <c:pt idx="0">
                  <c:v>Team1</c:v>
                </c:pt>
                <c:pt idx="1">
                  <c:v>Team2</c:v>
                </c:pt>
                <c:pt idx="2">
                  <c:v>Team3</c:v>
                </c:pt>
              </c:strCache>
            </c:strRef>
          </c:cat>
          <c:val>
            <c:numRef>
              <c:f>(Team!$C$3,Team!$C$16,Team!$C$29)</c:f>
              <c:numCache>
                <c:formatCode>General</c:formatCode>
                <c:ptCount val="3"/>
                <c:pt idx="0">
                  <c:v>1031</c:v>
                </c:pt>
                <c:pt idx="1">
                  <c:v>629</c:v>
                </c:pt>
                <c:pt idx="2">
                  <c:v>574</c:v>
                </c:pt>
              </c:numCache>
            </c:numRef>
          </c:val>
        </c:ser>
        <c:ser>
          <c:idx val="3"/>
          <c:order val="1"/>
          <c:tx>
            <c:strRef>
              <c:f>Team!$D$2</c:f>
              <c:strCache>
                <c:ptCount val="1"/>
                <c:pt idx="0">
                  <c:v>Bowling</c:v>
                </c:pt>
              </c:strCache>
            </c:strRef>
          </c:tx>
          <c:cat>
            <c:strRef>
              <c:f>(Team!$A$3,Team!$A$16,Team!$A$29)</c:f>
              <c:strCache>
                <c:ptCount val="3"/>
                <c:pt idx="0">
                  <c:v>Team1</c:v>
                </c:pt>
                <c:pt idx="1">
                  <c:v>Team2</c:v>
                </c:pt>
                <c:pt idx="2">
                  <c:v>Team3</c:v>
                </c:pt>
              </c:strCache>
            </c:strRef>
          </c:cat>
          <c:val>
            <c:numRef>
              <c:f>(Team!$D$3,Team!$D$16,Team!$D$29)</c:f>
              <c:numCache>
                <c:formatCode>General</c:formatCode>
                <c:ptCount val="3"/>
                <c:pt idx="0">
                  <c:v>40</c:v>
                </c:pt>
                <c:pt idx="1">
                  <c:v>80</c:v>
                </c:pt>
                <c:pt idx="2">
                  <c:v>200</c:v>
                </c:pt>
              </c:numCache>
            </c:numRef>
          </c:val>
        </c:ser>
        <c:ser>
          <c:idx val="0"/>
          <c:order val="2"/>
          <c:tx>
            <c:strRef>
              <c:f>Team!$E$2</c:f>
              <c:strCache>
                <c:ptCount val="1"/>
                <c:pt idx="0">
                  <c:v>Fielding</c:v>
                </c:pt>
              </c:strCache>
            </c:strRef>
          </c:tx>
          <c:cat>
            <c:strRef>
              <c:f>(Team!$A$3,Team!$A$16,Team!$A$29)</c:f>
              <c:strCache>
                <c:ptCount val="3"/>
                <c:pt idx="0">
                  <c:v>Team1</c:v>
                </c:pt>
                <c:pt idx="1">
                  <c:v>Team2</c:v>
                </c:pt>
                <c:pt idx="2">
                  <c:v>Team3</c:v>
                </c:pt>
              </c:strCache>
            </c:strRef>
          </c:cat>
          <c:val>
            <c:numRef>
              <c:f>(Team!$E$3,Team!$E$16,Team!$E$29)</c:f>
              <c:numCache>
                <c:formatCode>General</c:formatCode>
                <c:ptCount val="3"/>
                <c:pt idx="0">
                  <c:v>10</c:v>
                </c:pt>
                <c:pt idx="1">
                  <c:v>20</c:v>
                </c:pt>
                <c:pt idx="2">
                  <c:v>45</c:v>
                </c:pt>
              </c:numCache>
            </c:numRef>
          </c:val>
        </c:ser>
        <c:shape val="box"/>
        <c:axId val="88595456"/>
        <c:axId val="88613632"/>
        <c:axId val="0"/>
      </c:bar3DChart>
      <c:catAx>
        <c:axId val="88595456"/>
        <c:scaling>
          <c:orientation val="minMax"/>
        </c:scaling>
        <c:axPos val="b"/>
        <c:tickLblPos val="nextTo"/>
        <c:crossAx val="88613632"/>
        <c:crosses val="autoZero"/>
        <c:auto val="1"/>
        <c:lblAlgn val="ctr"/>
        <c:lblOffset val="100"/>
      </c:catAx>
      <c:valAx>
        <c:axId val="88613632"/>
        <c:scaling>
          <c:orientation val="minMax"/>
        </c:scaling>
        <c:axPos val="l"/>
        <c:majorGridlines/>
        <c:numFmt formatCode="General" sourceLinked="1"/>
        <c:tickLblPos val="nextTo"/>
        <c:crossAx val="885954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3</xdr:row>
      <xdr:rowOff>114299</xdr:rowOff>
    </xdr:from>
    <xdr:to>
      <xdr:col>15</xdr:col>
      <xdr:colOff>523875</xdr:colOff>
      <xdr:row>23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</sheetPr>
  <dimension ref="A2:H40"/>
  <sheetViews>
    <sheetView workbookViewId="0">
      <pane xSplit="7" ySplit="2" topLeftCell="H3" activePane="bottomRight" state="frozen"/>
      <selection pane="topRight" activeCell="I1" sqref="I1"/>
      <selection pane="bottomLeft" activeCell="A3" sqref="A3"/>
      <selection pane="bottomRight" activeCell="A16" sqref="A16"/>
    </sheetView>
  </sheetViews>
  <sheetFormatPr defaultRowHeight="14.5" outlineLevelRow="1"/>
  <cols>
    <col min="1" max="1" width="10" bestFit="1" customWidth="1"/>
    <col min="2" max="5" width="9.1796875" customWidth="1"/>
  </cols>
  <sheetData>
    <row r="2" spans="1:8">
      <c r="A2" s="10" t="s">
        <v>41</v>
      </c>
      <c r="B2" s="10" t="s">
        <v>32</v>
      </c>
      <c r="C2" s="10" t="s">
        <v>37</v>
      </c>
      <c r="D2" s="10" t="s">
        <v>38</v>
      </c>
      <c r="E2" s="10" t="s">
        <v>39</v>
      </c>
      <c r="F2" s="10" t="s">
        <v>40</v>
      </c>
    </row>
    <row r="3" spans="1:8">
      <c r="A3" s="7" t="s">
        <v>34</v>
      </c>
      <c r="B3" s="8">
        <f>IF(SUM(B4:B14)&gt;125,ERROR.TYPE(10),SUM(B4:B14))</f>
        <v>120</v>
      </c>
      <c r="C3" s="8">
        <f>SUM(C4:C8)</f>
        <v>1031</v>
      </c>
      <c r="D3" s="8">
        <f>SUM(D4:D8)</f>
        <v>40</v>
      </c>
      <c r="E3" s="8">
        <f>SUM(E4:E8)</f>
        <v>10</v>
      </c>
      <c r="F3" s="8">
        <f>SUM(C3:E3)</f>
        <v>1081</v>
      </c>
    </row>
    <row r="4" spans="1:8" ht="15" customHeight="1" outlineLevel="1">
      <c r="A4" s="4" t="s">
        <v>1</v>
      </c>
      <c r="B4" s="6">
        <f t="shared" ref="B4:B14" si="0">VLOOKUP(A4,Universal,2,FALSE)</f>
        <v>20</v>
      </c>
      <c r="C4" s="6">
        <f t="shared" ref="C4:C14" si="1">VLOOKUP(A4,batting,8,FALSE)</f>
        <v>412</v>
      </c>
      <c r="D4" s="6">
        <f t="shared" ref="D4:D14" si="2">VLOOKUP(A4,bowling,8,FALSE)</f>
        <v>0</v>
      </c>
      <c r="E4" s="6">
        <f t="shared" ref="E4:E14" si="3">VLOOKUP(A4,Fielding,8,FALSE)</f>
        <v>0</v>
      </c>
      <c r="F4" s="6">
        <f t="shared" ref="F4:F8" si="4">SUM(C4:E4)</f>
        <v>412</v>
      </c>
    </row>
    <row r="5" spans="1:8" ht="15" customHeight="1" outlineLevel="1">
      <c r="A5" s="4" t="s">
        <v>2</v>
      </c>
      <c r="B5" s="6">
        <f t="shared" si="0"/>
        <v>18</v>
      </c>
      <c r="C5" s="6">
        <f t="shared" si="1"/>
        <v>100</v>
      </c>
      <c r="D5" s="6">
        <f t="shared" si="2"/>
        <v>20</v>
      </c>
      <c r="E5" s="6">
        <f t="shared" si="3"/>
        <v>5</v>
      </c>
      <c r="F5" s="6">
        <f t="shared" si="4"/>
        <v>125</v>
      </c>
    </row>
    <row r="6" spans="1:8" ht="15" customHeight="1" outlineLevel="1">
      <c r="A6" s="4" t="s">
        <v>3</v>
      </c>
      <c r="B6" s="6">
        <f t="shared" si="0"/>
        <v>10</v>
      </c>
      <c r="C6" s="6">
        <f t="shared" si="1"/>
        <v>254</v>
      </c>
      <c r="D6" s="6">
        <f t="shared" si="2"/>
        <v>0</v>
      </c>
      <c r="E6" s="6">
        <f t="shared" si="3"/>
        <v>0</v>
      </c>
      <c r="F6" s="6">
        <f t="shared" si="4"/>
        <v>254</v>
      </c>
    </row>
    <row r="7" spans="1:8" ht="15" customHeight="1" outlineLevel="1">
      <c r="A7" s="4" t="s">
        <v>4</v>
      </c>
      <c r="B7" s="6">
        <f t="shared" si="0"/>
        <v>8</v>
      </c>
      <c r="C7" s="6">
        <f t="shared" si="1"/>
        <v>173</v>
      </c>
      <c r="D7" s="6">
        <f t="shared" si="2"/>
        <v>0</v>
      </c>
      <c r="E7" s="6">
        <f t="shared" si="3"/>
        <v>0</v>
      </c>
      <c r="F7" s="6">
        <f t="shared" si="4"/>
        <v>173</v>
      </c>
    </row>
    <row r="8" spans="1:8" ht="15" customHeight="1" outlineLevel="1">
      <c r="A8" s="4" t="s">
        <v>16</v>
      </c>
      <c r="B8" s="6">
        <f t="shared" si="0"/>
        <v>12</v>
      </c>
      <c r="C8" s="6">
        <f t="shared" si="1"/>
        <v>92</v>
      </c>
      <c r="D8" s="6">
        <f t="shared" si="2"/>
        <v>20</v>
      </c>
      <c r="E8" s="6">
        <f t="shared" si="3"/>
        <v>5</v>
      </c>
      <c r="F8" s="6">
        <f t="shared" si="4"/>
        <v>117</v>
      </c>
    </row>
    <row r="9" spans="1:8" ht="15" customHeight="1" outlineLevel="1">
      <c r="A9" s="4" t="s">
        <v>7</v>
      </c>
      <c r="B9" s="6">
        <f t="shared" si="0"/>
        <v>9</v>
      </c>
      <c r="C9" s="6">
        <f t="shared" si="1"/>
        <v>106</v>
      </c>
      <c r="D9" s="6">
        <f t="shared" si="2"/>
        <v>60</v>
      </c>
      <c r="E9" s="6">
        <f t="shared" si="3"/>
        <v>15</v>
      </c>
      <c r="F9" s="6">
        <f t="shared" ref="F9:F14" si="5">SUM(C9:E9)</f>
        <v>181</v>
      </c>
    </row>
    <row r="10" spans="1:8" ht="15" customHeight="1" outlineLevel="1">
      <c r="A10" s="4" t="s">
        <v>8</v>
      </c>
      <c r="B10" s="6">
        <f t="shared" si="0"/>
        <v>7</v>
      </c>
      <c r="C10" s="6">
        <f t="shared" si="1"/>
        <v>37</v>
      </c>
      <c r="D10" s="6">
        <f t="shared" si="2"/>
        <v>60</v>
      </c>
      <c r="E10" s="6">
        <f t="shared" si="3"/>
        <v>15</v>
      </c>
      <c r="F10" s="6">
        <f t="shared" si="5"/>
        <v>112</v>
      </c>
    </row>
    <row r="11" spans="1:8" ht="15" customHeight="1" outlineLevel="1">
      <c r="A11" s="4" t="s">
        <v>17</v>
      </c>
      <c r="B11" s="6">
        <f t="shared" si="0"/>
        <v>8</v>
      </c>
      <c r="C11" s="6">
        <f t="shared" si="1"/>
        <v>16</v>
      </c>
      <c r="D11" s="6">
        <f t="shared" si="2"/>
        <v>0</v>
      </c>
      <c r="E11" s="6">
        <f t="shared" si="3"/>
        <v>0</v>
      </c>
      <c r="F11" s="6">
        <f t="shared" si="5"/>
        <v>16</v>
      </c>
    </row>
    <row r="12" spans="1:8" ht="15" customHeight="1" outlineLevel="1">
      <c r="A12" s="4" t="s">
        <v>6</v>
      </c>
      <c r="B12" s="6">
        <f t="shared" si="0"/>
        <v>12</v>
      </c>
      <c r="C12" s="6">
        <f t="shared" si="1"/>
        <v>9</v>
      </c>
      <c r="D12" s="6">
        <f t="shared" si="2"/>
        <v>60</v>
      </c>
      <c r="E12" s="6">
        <f t="shared" si="3"/>
        <v>15</v>
      </c>
      <c r="F12" s="6">
        <f t="shared" si="5"/>
        <v>84</v>
      </c>
    </row>
    <row r="13" spans="1:8" ht="15" customHeight="1" outlineLevel="1">
      <c r="A13" s="4" t="s">
        <v>9</v>
      </c>
      <c r="B13" s="6">
        <f t="shared" si="0"/>
        <v>10</v>
      </c>
      <c r="C13" s="6">
        <f t="shared" si="1"/>
        <v>22</v>
      </c>
      <c r="D13" s="6">
        <f t="shared" si="2"/>
        <v>60</v>
      </c>
      <c r="E13" s="6">
        <f t="shared" si="3"/>
        <v>15</v>
      </c>
      <c r="F13" s="6">
        <f t="shared" si="5"/>
        <v>97</v>
      </c>
    </row>
    <row r="14" spans="1:8" ht="15" customHeight="1" outlineLevel="1">
      <c r="A14" s="4" t="s">
        <v>10</v>
      </c>
      <c r="B14" s="6">
        <f t="shared" si="0"/>
        <v>6</v>
      </c>
      <c r="C14" s="6">
        <f t="shared" si="1"/>
        <v>23</v>
      </c>
      <c r="D14" s="6">
        <f t="shared" si="2"/>
        <v>20</v>
      </c>
      <c r="E14" s="6">
        <f t="shared" si="3"/>
        <v>5</v>
      </c>
      <c r="F14" s="6">
        <f t="shared" si="5"/>
        <v>48</v>
      </c>
      <c r="H14" t="s">
        <v>43</v>
      </c>
    </row>
    <row r="15" spans="1:8" collapsed="1">
      <c r="B15" s="5"/>
      <c r="C15" s="5"/>
      <c r="D15" s="5"/>
      <c r="E15" s="5"/>
      <c r="F15" s="5"/>
      <c r="H15" t="s">
        <v>44</v>
      </c>
    </row>
    <row r="16" spans="1:8">
      <c r="A16" s="7" t="s">
        <v>35</v>
      </c>
      <c r="B16" s="8">
        <f>IF(SUM(B17:B27)&gt;125,ERROR.TYPE(10),SUM(B17:B27))</f>
        <v>125</v>
      </c>
      <c r="C16" s="8">
        <f>SUM(C17:C21)</f>
        <v>629</v>
      </c>
      <c r="D16" s="8">
        <f>SUM(D17:D21)</f>
        <v>80</v>
      </c>
      <c r="E16" s="8">
        <f>SUM(E17:E21)</f>
        <v>20</v>
      </c>
      <c r="F16" s="8">
        <f>SUM(C16:E16)</f>
        <v>729</v>
      </c>
      <c r="H16" t="s">
        <v>45</v>
      </c>
    </row>
    <row r="17" spans="1:8" outlineLevel="1">
      <c r="A17" s="4" t="s">
        <v>13</v>
      </c>
      <c r="B17" s="6">
        <f t="shared" ref="B17:B27" si="6">VLOOKUP(A17,Universal,2,FALSE)</f>
        <v>14</v>
      </c>
      <c r="C17" s="6">
        <f t="shared" ref="C17:C27" si="7">VLOOKUP(A17,batting,8,FALSE)</f>
        <v>90</v>
      </c>
      <c r="D17" s="6">
        <f t="shared" ref="D17:D27" si="8">VLOOKUP(A17,bowling,8,FALSE)</f>
        <v>0</v>
      </c>
      <c r="E17" s="6">
        <f t="shared" ref="E17:E27" si="9">VLOOKUP(A17,Fielding,8,FALSE)</f>
        <v>0</v>
      </c>
      <c r="F17" s="6">
        <f t="shared" ref="F17:F27" si="10">SUM(C17:E17)</f>
        <v>90</v>
      </c>
      <c r="H17" t="s">
        <v>46</v>
      </c>
    </row>
    <row r="18" spans="1:8" outlineLevel="1">
      <c r="A18" s="4" t="s">
        <v>2</v>
      </c>
      <c r="B18" s="6">
        <f t="shared" si="6"/>
        <v>18</v>
      </c>
      <c r="C18" s="6">
        <f t="shared" si="7"/>
        <v>100</v>
      </c>
      <c r="D18" s="6">
        <f t="shared" si="8"/>
        <v>20</v>
      </c>
      <c r="E18" s="6">
        <f t="shared" si="9"/>
        <v>5</v>
      </c>
      <c r="F18" s="6">
        <f t="shared" si="10"/>
        <v>125</v>
      </c>
    </row>
    <row r="19" spans="1:8" outlineLevel="1">
      <c r="A19" s="4" t="s">
        <v>12</v>
      </c>
      <c r="B19" s="6">
        <f t="shared" si="6"/>
        <v>16</v>
      </c>
      <c r="C19" s="6">
        <f t="shared" si="7"/>
        <v>148</v>
      </c>
      <c r="D19" s="6">
        <f t="shared" si="8"/>
        <v>0</v>
      </c>
      <c r="E19" s="6">
        <f t="shared" si="9"/>
        <v>0</v>
      </c>
      <c r="F19" s="6">
        <f t="shared" si="10"/>
        <v>148</v>
      </c>
    </row>
    <row r="20" spans="1:8" outlineLevel="1">
      <c r="A20" s="4" t="s">
        <v>3</v>
      </c>
      <c r="B20" s="6">
        <f t="shared" si="6"/>
        <v>10</v>
      </c>
      <c r="C20" s="6">
        <f t="shared" si="7"/>
        <v>254</v>
      </c>
      <c r="D20" s="6">
        <f t="shared" si="8"/>
        <v>0</v>
      </c>
      <c r="E20" s="6">
        <f t="shared" si="9"/>
        <v>0</v>
      </c>
      <c r="F20" s="6">
        <f t="shared" si="10"/>
        <v>254</v>
      </c>
    </row>
    <row r="21" spans="1:8" outlineLevel="1">
      <c r="A21" s="4" t="s">
        <v>8</v>
      </c>
      <c r="B21" s="6">
        <f t="shared" si="6"/>
        <v>7</v>
      </c>
      <c r="C21" s="6">
        <f t="shared" si="7"/>
        <v>37</v>
      </c>
      <c r="D21" s="6">
        <f t="shared" si="8"/>
        <v>60</v>
      </c>
      <c r="E21" s="6">
        <f t="shared" si="9"/>
        <v>15</v>
      </c>
      <c r="F21" s="6">
        <f t="shared" si="10"/>
        <v>112</v>
      </c>
    </row>
    <row r="22" spans="1:8" ht="15" customHeight="1" outlineLevel="1">
      <c r="A22" s="4" t="s">
        <v>17</v>
      </c>
      <c r="B22" s="6">
        <f t="shared" si="6"/>
        <v>8</v>
      </c>
      <c r="C22" s="6">
        <f t="shared" si="7"/>
        <v>16</v>
      </c>
      <c r="D22" s="6">
        <f t="shared" si="8"/>
        <v>0</v>
      </c>
      <c r="E22" s="6">
        <f t="shared" si="9"/>
        <v>0</v>
      </c>
      <c r="F22" s="6">
        <f t="shared" si="10"/>
        <v>16</v>
      </c>
    </row>
    <row r="23" spans="1:8" ht="15" customHeight="1" outlineLevel="1">
      <c r="A23" s="4" t="s">
        <v>6</v>
      </c>
      <c r="B23" s="6">
        <f t="shared" si="6"/>
        <v>12</v>
      </c>
      <c r="C23" s="6">
        <f t="shared" si="7"/>
        <v>9</v>
      </c>
      <c r="D23" s="6">
        <f t="shared" si="8"/>
        <v>60</v>
      </c>
      <c r="E23" s="6">
        <f t="shared" si="9"/>
        <v>15</v>
      </c>
      <c r="F23" s="6">
        <f t="shared" si="10"/>
        <v>84</v>
      </c>
    </row>
    <row r="24" spans="1:8" ht="15" customHeight="1" outlineLevel="1">
      <c r="A24" s="4" t="s">
        <v>9</v>
      </c>
      <c r="B24" s="6">
        <f t="shared" si="6"/>
        <v>10</v>
      </c>
      <c r="C24" s="6">
        <f t="shared" si="7"/>
        <v>22</v>
      </c>
      <c r="D24" s="6">
        <f t="shared" si="8"/>
        <v>60</v>
      </c>
      <c r="E24" s="6">
        <f t="shared" si="9"/>
        <v>15</v>
      </c>
      <c r="F24" s="6">
        <f t="shared" si="10"/>
        <v>97</v>
      </c>
    </row>
    <row r="25" spans="1:8" ht="15" customHeight="1" outlineLevel="1">
      <c r="A25" s="4" t="s">
        <v>10</v>
      </c>
      <c r="B25" s="6">
        <f t="shared" si="6"/>
        <v>6</v>
      </c>
      <c r="C25" s="6">
        <f t="shared" si="7"/>
        <v>23</v>
      </c>
      <c r="D25" s="6">
        <f t="shared" si="8"/>
        <v>20</v>
      </c>
      <c r="E25" s="6">
        <f t="shared" si="9"/>
        <v>5</v>
      </c>
      <c r="F25" s="6">
        <f t="shared" si="10"/>
        <v>48</v>
      </c>
    </row>
    <row r="26" spans="1:8" ht="15" customHeight="1" outlineLevel="1">
      <c r="A26" s="4" t="s">
        <v>4</v>
      </c>
      <c r="B26" s="6">
        <f t="shared" si="6"/>
        <v>8</v>
      </c>
      <c r="C26" s="6">
        <f t="shared" si="7"/>
        <v>173</v>
      </c>
      <c r="D26" s="6">
        <f t="shared" si="8"/>
        <v>0</v>
      </c>
      <c r="E26" s="6">
        <f t="shared" si="9"/>
        <v>0</v>
      </c>
      <c r="F26" s="6">
        <f t="shared" si="10"/>
        <v>173</v>
      </c>
    </row>
    <row r="27" spans="1:8" ht="15" customHeight="1" outlineLevel="1">
      <c r="A27" s="4" t="s">
        <v>19</v>
      </c>
      <c r="B27" s="6">
        <f t="shared" si="6"/>
        <v>16</v>
      </c>
      <c r="C27" s="6">
        <f t="shared" si="7"/>
        <v>16</v>
      </c>
      <c r="D27" s="6">
        <f t="shared" si="8"/>
        <v>80</v>
      </c>
      <c r="E27" s="6">
        <f t="shared" si="9"/>
        <v>20</v>
      </c>
      <c r="F27" s="6">
        <f t="shared" si="10"/>
        <v>116</v>
      </c>
    </row>
    <row r="28" spans="1:8" collapsed="1">
      <c r="B28" s="5"/>
      <c r="C28" s="5"/>
      <c r="D28" s="5"/>
      <c r="E28" s="5"/>
      <c r="F28" s="5"/>
    </row>
    <row r="29" spans="1:8">
      <c r="A29" s="7" t="s">
        <v>36</v>
      </c>
      <c r="B29" s="8">
        <f>IF(SUM(B30:B40)&gt;125,ERROR.TYPE(10),SUM(B30:B40))</f>
        <v>124</v>
      </c>
      <c r="C29" s="8">
        <f>SUM(C30:C34)</f>
        <v>574</v>
      </c>
      <c r="D29" s="8">
        <f>SUM(D30:D34)</f>
        <v>200</v>
      </c>
      <c r="E29" s="8">
        <f>SUM(E30:E34)</f>
        <v>45</v>
      </c>
      <c r="F29" s="8">
        <f>SUM(C29:E29)</f>
        <v>819</v>
      </c>
    </row>
    <row r="30" spans="1:8" outlineLevel="1">
      <c r="A30" s="4" t="s">
        <v>4</v>
      </c>
      <c r="B30" s="6">
        <f t="shared" ref="B30:B40" si="11">VLOOKUP(A30,Universal,2,FALSE)</f>
        <v>8</v>
      </c>
      <c r="C30" s="6">
        <f t="shared" ref="C30:C40" si="12">VLOOKUP(A30,batting,8,FALSE)</f>
        <v>173</v>
      </c>
      <c r="D30" s="6">
        <f t="shared" ref="D30:D40" si="13">VLOOKUP(A30,bowling,8,FALSE)</f>
        <v>0</v>
      </c>
      <c r="E30" s="6">
        <f t="shared" ref="E30:E40" si="14">VLOOKUP(A30,Fielding,8,FALSE)</f>
        <v>0</v>
      </c>
      <c r="F30" s="6">
        <f t="shared" ref="F30:F40" si="15">SUM(C30:E30)</f>
        <v>173</v>
      </c>
    </row>
    <row r="31" spans="1:8" outlineLevel="1">
      <c r="A31" s="4" t="s">
        <v>16</v>
      </c>
      <c r="B31" s="6">
        <f t="shared" si="11"/>
        <v>12</v>
      </c>
      <c r="C31" s="6">
        <f t="shared" si="12"/>
        <v>92</v>
      </c>
      <c r="D31" s="6">
        <f t="shared" si="13"/>
        <v>20</v>
      </c>
      <c r="E31" s="6">
        <f t="shared" si="14"/>
        <v>5</v>
      </c>
      <c r="F31" s="6">
        <f t="shared" si="15"/>
        <v>117</v>
      </c>
    </row>
    <row r="32" spans="1:8" outlineLevel="1">
      <c r="A32" s="4" t="s">
        <v>14</v>
      </c>
      <c r="B32" s="6">
        <f t="shared" si="11"/>
        <v>20</v>
      </c>
      <c r="C32" s="6">
        <f t="shared" si="12"/>
        <v>48</v>
      </c>
      <c r="D32" s="6">
        <f t="shared" si="13"/>
        <v>20</v>
      </c>
      <c r="E32" s="6">
        <f t="shared" si="14"/>
        <v>5</v>
      </c>
      <c r="F32" s="6">
        <f t="shared" si="15"/>
        <v>73</v>
      </c>
    </row>
    <row r="33" spans="1:6" outlineLevel="1">
      <c r="A33" s="4" t="s">
        <v>3</v>
      </c>
      <c r="B33" s="6">
        <f t="shared" si="11"/>
        <v>10</v>
      </c>
      <c r="C33" s="6">
        <f t="shared" si="12"/>
        <v>254</v>
      </c>
      <c r="D33" s="6">
        <f t="shared" si="13"/>
        <v>0</v>
      </c>
      <c r="E33" s="6">
        <f t="shared" si="14"/>
        <v>0</v>
      </c>
      <c r="F33" s="6">
        <f t="shared" si="15"/>
        <v>254</v>
      </c>
    </row>
    <row r="34" spans="1:6" outlineLevel="1">
      <c r="A34" s="4" t="s">
        <v>18</v>
      </c>
      <c r="B34" s="6">
        <f t="shared" si="11"/>
        <v>18</v>
      </c>
      <c r="C34" s="6">
        <f t="shared" si="12"/>
        <v>7</v>
      </c>
      <c r="D34" s="6">
        <f t="shared" si="13"/>
        <v>160</v>
      </c>
      <c r="E34" s="6">
        <f t="shared" si="14"/>
        <v>35</v>
      </c>
      <c r="F34" s="6">
        <f t="shared" si="15"/>
        <v>202</v>
      </c>
    </row>
    <row r="35" spans="1:6" ht="15" customHeight="1" outlineLevel="1">
      <c r="A35" s="4" t="s">
        <v>17</v>
      </c>
      <c r="B35" s="6">
        <f t="shared" si="11"/>
        <v>8</v>
      </c>
      <c r="C35" s="6">
        <f t="shared" si="12"/>
        <v>16</v>
      </c>
      <c r="D35" s="6">
        <f t="shared" si="13"/>
        <v>0</v>
      </c>
      <c r="E35" s="6">
        <f t="shared" si="14"/>
        <v>0</v>
      </c>
      <c r="F35" s="6">
        <f t="shared" si="15"/>
        <v>16</v>
      </c>
    </row>
    <row r="36" spans="1:6" ht="15" customHeight="1" outlineLevel="1">
      <c r="A36" s="4" t="s">
        <v>6</v>
      </c>
      <c r="B36" s="6">
        <f t="shared" si="11"/>
        <v>12</v>
      </c>
      <c r="C36" s="6">
        <f t="shared" si="12"/>
        <v>9</v>
      </c>
      <c r="D36" s="6">
        <f t="shared" si="13"/>
        <v>60</v>
      </c>
      <c r="E36" s="6">
        <f t="shared" si="14"/>
        <v>15</v>
      </c>
      <c r="F36" s="6">
        <f t="shared" si="15"/>
        <v>84</v>
      </c>
    </row>
    <row r="37" spans="1:6" ht="15" customHeight="1" outlineLevel="1">
      <c r="A37" s="4" t="s">
        <v>9</v>
      </c>
      <c r="B37" s="6">
        <f t="shared" si="11"/>
        <v>10</v>
      </c>
      <c r="C37" s="6">
        <f t="shared" si="12"/>
        <v>22</v>
      </c>
      <c r="D37" s="6">
        <f t="shared" si="13"/>
        <v>60</v>
      </c>
      <c r="E37" s="6">
        <f t="shared" si="14"/>
        <v>15</v>
      </c>
      <c r="F37" s="6">
        <f t="shared" si="15"/>
        <v>97</v>
      </c>
    </row>
    <row r="38" spans="1:6" ht="15" customHeight="1" outlineLevel="1">
      <c r="A38" s="4" t="s">
        <v>10</v>
      </c>
      <c r="B38" s="6">
        <f t="shared" si="11"/>
        <v>6</v>
      </c>
      <c r="C38" s="6">
        <f t="shared" si="12"/>
        <v>23</v>
      </c>
      <c r="D38" s="6">
        <f t="shared" si="13"/>
        <v>20</v>
      </c>
      <c r="E38" s="6">
        <f t="shared" si="14"/>
        <v>5</v>
      </c>
      <c r="F38" s="6">
        <f t="shared" si="15"/>
        <v>48</v>
      </c>
    </row>
    <row r="39" spans="1:6" ht="15" customHeight="1" outlineLevel="1">
      <c r="A39" s="4" t="s">
        <v>20</v>
      </c>
      <c r="B39" s="6">
        <f t="shared" si="11"/>
        <v>13</v>
      </c>
      <c r="C39" s="6">
        <f t="shared" si="12"/>
        <v>20</v>
      </c>
      <c r="D39" s="6">
        <f t="shared" si="13"/>
        <v>80</v>
      </c>
      <c r="E39" s="6">
        <f t="shared" si="14"/>
        <v>20</v>
      </c>
      <c r="F39" s="6">
        <f t="shared" si="15"/>
        <v>120</v>
      </c>
    </row>
    <row r="40" spans="1:6" outlineLevel="1">
      <c r="A40" s="4" t="s">
        <v>8</v>
      </c>
      <c r="B40" s="6">
        <f t="shared" si="11"/>
        <v>7</v>
      </c>
      <c r="C40" s="6">
        <f t="shared" si="12"/>
        <v>37</v>
      </c>
      <c r="D40" s="6">
        <f t="shared" si="13"/>
        <v>60</v>
      </c>
      <c r="E40" s="6">
        <f t="shared" si="14"/>
        <v>15</v>
      </c>
      <c r="F40" s="6">
        <f t="shared" si="15"/>
        <v>112</v>
      </c>
    </row>
  </sheetData>
  <sheetProtection formatCells="0"/>
  <dataConsolidate/>
  <conditionalFormatting sqref="B3 B16 B29">
    <cfRule type="containsErrors" dxfId="0" priority="5">
      <formula>ISERROR(B3)</formula>
    </cfRule>
  </conditionalFormatting>
  <dataValidations count="2">
    <dataValidation type="list" allowBlank="1" showInputMessage="1" showErrorMessage="1" sqref="A17:A27 H4:H6 H1:I3 A30:A40 A4:A14">
      <formula1>Player</formula1>
    </dataValidation>
    <dataValidation allowBlank="1" showInputMessage="1" showErrorMessage="1" promptTitle="no change alowed" sqref="B16:F27 B29:F40 B3:F14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P24"/>
  <sheetViews>
    <sheetView workbookViewId="0">
      <selection activeCell="D12" sqref="D12"/>
    </sheetView>
  </sheetViews>
  <sheetFormatPr defaultRowHeight="14.5" outlineLevelRow="1"/>
  <cols>
    <col min="2" max="2" width="11.7265625" bestFit="1" customWidth="1"/>
    <col min="3" max="3" width="10" bestFit="1" customWidth="1"/>
    <col min="10" max="10" width="11.453125" bestFit="1" customWidth="1"/>
    <col min="11" max="11" width="0" hidden="1" customWidth="1"/>
    <col min="12" max="12" width="8.54296875" hidden="1" customWidth="1"/>
    <col min="13" max="13" width="0" hidden="1" customWidth="1"/>
    <col min="16" max="16" width="14" bestFit="1" customWidth="1"/>
  </cols>
  <sheetData>
    <row r="2" spans="2:16">
      <c r="D2" s="15" t="s">
        <v>21</v>
      </c>
      <c r="E2" s="15"/>
      <c r="F2" s="15"/>
      <c r="G2" s="15"/>
      <c r="H2" s="15"/>
      <c r="I2" s="1"/>
    </row>
    <row r="3" spans="2:16">
      <c r="D3" s="13">
        <v>1</v>
      </c>
      <c r="E3" s="13">
        <v>2</v>
      </c>
      <c r="F3" s="13">
        <v>3</v>
      </c>
      <c r="G3" s="13">
        <v>4</v>
      </c>
      <c r="H3" s="13">
        <v>5</v>
      </c>
      <c r="I3" s="14" t="s">
        <v>23</v>
      </c>
      <c r="J3" s="13" t="s">
        <v>22</v>
      </c>
    </row>
    <row r="4" spans="2:16">
      <c r="B4" s="9" t="s">
        <v>0</v>
      </c>
    </row>
    <row r="5" spans="2:16" outlineLevel="1">
      <c r="C5" s="4" t="s">
        <v>1</v>
      </c>
      <c r="D5" s="4">
        <v>7</v>
      </c>
      <c r="E5" s="4">
        <v>52</v>
      </c>
      <c r="F5" s="4">
        <v>101</v>
      </c>
      <c r="G5" s="4">
        <v>139</v>
      </c>
      <c r="H5" s="4">
        <v>53</v>
      </c>
      <c r="I5" s="4">
        <f>SUM(D5:H5)</f>
        <v>352</v>
      </c>
      <c r="J5" s="11">
        <f>I5+((COUNTIF(D5:H5,"&gt;=50")-COUNTIF(D5:H5,"&gt;=100"))*10)+(COUNTIF(D5:H5,"&gt;=100")*20)</f>
        <v>412</v>
      </c>
      <c r="K5">
        <f>SUM(D5:H5)</f>
        <v>352</v>
      </c>
      <c r="L5" s="2">
        <f t="shared" ref="L5:L14" si="0">COUNTIF(D5:H5,"&gt;=50")</f>
        <v>4</v>
      </c>
      <c r="M5" s="2">
        <f>COUNTIF(D5:H5,"&gt;=100")</f>
        <v>2</v>
      </c>
    </row>
    <row r="6" spans="2:16" outlineLevel="1">
      <c r="C6" s="4" t="s">
        <v>2</v>
      </c>
      <c r="D6" s="4">
        <v>21</v>
      </c>
      <c r="E6" s="4">
        <v>7</v>
      </c>
      <c r="F6" s="4">
        <v>55</v>
      </c>
      <c r="G6" s="4">
        <v>1</v>
      </c>
      <c r="H6" s="4">
        <v>6</v>
      </c>
      <c r="I6" s="4">
        <f t="shared" ref="I6:I14" si="1">SUM(D6:H6)</f>
        <v>90</v>
      </c>
      <c r="J6" s="11">
        <f t="shared" ref="J6:J14" si="2">I6+((COUNTIF(D6:H6,"&gt;=50")-COUNTIF(D6:H6,"&gt;=100"))*10)+(COUNTIF(D6:H6,"&gt;=100")*20)</f>
        <v>100</v>
      </c>
      <c r="L6" s="2">
        <f t="shared" si="0"/>
        <v>1</v>
      </c>
      <c r="M6" s="2">
        <f t="shared" ref="M6:M14" si="3">COUNTIF(D6:H6,"&gt;=100")</f>
        <v>0</v>
      </c>
      <c r="P6" t="s">
        <v>24</v>
      </c>
    </row>
    <row r="7" spans="2:16" outlineLevel="1">
      <c r="C7" s="4" t="s">
        <v>3</v>
      </c>
      <c r="D7" s="4">
        <v>12</v>
      </c>
      <c r="E7" s="4">
        <v>43</v>
      </c>
      <c r="F7" s="4">
        <v>51</v>
      </c>
      <c r="G7" s="4">
        <v>118</v>
      </c>
      <c r="H7" s="4"/>
      <c r="I7" s="4">
        <f t="shared" si="1"/>
        <v>224</v>
      </c>
      <c r="J7" s="11">
        <f t="shared" si="2"/>
        <v>254</v>
      </c>
      <c r="L7" s="2">
        <f t="shared" si="0"/>
        <v>2</v>
      </c>
      <c r="M7" s="2">
        <f t="shared" si="3"/>
        <v>1</v>
      </c>
      <c r="P7" t="s">
        <v>25</v>
      </c>
    </row>
    <row r="8" spans="2:16" outlineLevel="1">
      <c r="C8" s="4" t="s">
        <v>4</v>
      </c>
      <c r="D8" s="4">
        <v>54</v>
      </c>
      <c r="E8" s="4">
        <v>76</v>
      </c>
      <c r="F8" s="4">
        <v>23</v>
      </c>
      <c r="G8" s="4"/>
      <c r="H8" s="4"/>
      <c r="I8" s="4">
        <f t="shared" si="1"/>
        <v>153</v>
      </c>
      <c r="J8" s="11">
        <f t="shared" si="2"/>
        <v>173</v>
      </c>
      <c r="L8" s="2">
        <f t="shared" si="0"/>
        <v>2</v>
      </c>
      <c r="M8" s="2">
        <f t="shared" si="3"/>
        <v>0</v>
      </c>
      <c r="P8" t="s">
        <v>26</v>
      </c>
    </row>
    <row r="9" spans="2:16" outlineLevel="1">
      <c r="C9" s="4" t="s">
        <v>7</v>
      </c>
      <c r="D9" s="4">
        <v>23</v>
      </c>
      <c r="E9" s="4">
        <v>73</v>
      </c>
      <c r="F9" s="4"/>
      <c r="G9" s="4"/>
      <c r="H9" s="4"/>
      <c r="I9" s="4">
        <f t="shared" si="1"/>
        <v>96</v>
      </c>
      <c r="J9" s="11">
        <f t="shared" si="2"/>
        <v>106</v>
      </c>
      <c r="L9" s="2">
        <f t="shared" si="0"/>
        <v>1</v>
      </c>
      <c r="M9" s="2">
        <f t="shared" si="3"/>
        <v>0</v>
      </c>
    </row>
    <row r="10" spans="2:16" outlineLevel="1">
      <c r="C10" s="4" t="s">
        <v>8</v>
      </c>
      <c r="D10" s="4">
        <v>32</v>
      </c>
      <c r="E10" s="4">
        <v>5</v>
      </c>
      <c r="F10" s="4"/>
      <c r="G10" s="4"/>
      <c r="H10" s="4"/>
      <c r="I10" s="4">
        <f t="shared" si="1"/>
        <v>37</v>
      </c>
      <c r="J10" s="11">
        <f t="shared" si="2"/>
        <v>37</v>
      </c>
      <c r="L10" s="2">
        <f t="shared" si="0"/>
        <v>0</v>
      </c>
      <c r="M10" s="2">
        <f t="shared" si="3"/>
        <v>0</v>
      </c>
    </row>
    <row r="11" spans="2:16" outlineLevel="1">
      <c r="C11" s="4" t="s">
        <v>5</v>
      </c>
      <c r="D11" s="4">
        <v>25</v>
      </c>
      <c r="E11" s="4">
        <v>3</v>
      </c>
      <c r="F11" s="4"/>
      <c r="G11" s="4"/>
      <c r="H11" s="4"/>
      <c r="I11" s="4">
        <f t="shared" si="1"/>
        <v>28</v>
      </c>
      <c r="J11" s="11">
        <f t="shared" si="2"/>
        <v>28</v>
      </c>
      <c r="L11" s="2">
        <f t="shared" si="0"/>
        <v>0</v>
      </c>
      <c r="M11" s="2">
        <f t="shared" si="3"/>
        <v>0</v>
      </c>
    </row>
    <row r="12" spans="2:16" outlineLevel="1">
      <c r="C12" s="4" t="s">
        <v>6</v>
      </c>
      <c r="D12" s="4">
        <v>0</v>
      </c>
      <c r="E12" s="4">
        <v>9</v>
      </c>
      <c r="F12" s="4"/>
      <c r="G12" s="4"/>
      <c r="H12" s="4"/>
      <c r="I12" s="4">
        <f t="shared" si="1"/>
        <v>9</v>
      </c>
      <c r="J12" s="11">
        <f t="shared" si="2"/>
        <v>9</v>
      </c>
      <c r="L12" s="2">
        <f t="shared" si="0"/>
        <v>0</v>
      </c>
      <c r="M12" s="2">
        <f t="shared" si="3"/>
        <v>0</v>
      </c>
    </row>
    <row r="13" spans="2:16" outlineLevel="1">
      <c r="C13" s="4" t="s">
        <v>9</v>
      </c>
      <c r="D13" s="4">
        <v>11</v>
      </c>
      <c r="E13" s="4">
        <v>11</v>
      </c>
      <c r="F13" s="4"/>
      <c r="G13" s="4"/>
      <c r="H13" s="4"/>
      <c r="I13" s="4">
        <f t="shared" si="1"/>
        <v>22</v>
      </c>
      <c r="J13" s="11">
        <f t="shared" si="2"/>
        <v>22</v>
      </c>
      <c r="L13" s="2">
        <f t="shared" si="0"/>
        <v>0</v>
      </c>
      <c r="M13" s="2">
        <f t="shared" si="3"/>
        <v>0</v>
      </c>
    </row>
    <row r="14" spans="2:16" outlineLevel="1">
      <c r="C14" s="4" t="s">
        <v>10</v>
      </c>
      <c r="D14" s="4">
        <v>2</v>
      </c>
      <c r="E14" s="4">
        <v>21</v>
      </c>
      <c r="F14" s="12"/>
      <c r="G14" s="4"/>
      <c r="H14" s="4"/>
      <c r="I14" s="4">
        <f t="shared" si="1"/>
        <v>23</v>
      </c>
      <c r="J14" s="11">
        <f t="shared" si="2"/>
        <v>23</v>
      </c>
      <c r="L14" s="2">
        <f t="shared" si="0"/>
        <v>0</v>
      </c>
      <c r="M14" s="2">
        <f t="shared" si="3"/>
        <v>0</v>
      </c>
    </row>
    <row r="15" spans="2:16">
      <c r="B15" s="9" t="s">
        <v>11</v>
      </c>
      <c r="C15" s="4"/>
      <c r="D15" s="4"/>
      <c r="E15" s="4"/>
      <c r="F15" s="4"/>
      <c r="G15" s="4"/>
      <c r="H15" s="4"/>
      <c r="I15" s="4"/>
      <c r="J15" s="4"/>
    </row>
    <row r="16" spans="2:16" outlineLevel="1">
      <c r="C16" s="4" t="s">
        <v>12</v>
      </c>
      <c r="D16" s="4">
        <v>52</v>
      </c>
      <c r="E16" s="4">
        <v>76</v>
      </c>
      <c r="F16" s="4"/>
      <c r="G16" s="4"/>
      <c r="H16" s="4"/>
      <c r="I16" s="4">
        <f>SUM(D16:H16)</f>
        <v>128</v>
      </c>
      <c r="J16" s="11">
        <f>I16+((COUNTIF(D16:H16,"&gt;=50")-COUNTIF(D16:H16,"&gt;=100"))*10)+(COUNTIF(D16:H16,"&gt;=100")*20)</f>
        <v>148</v>
      </c>
    </row>
    <row r="17" spans="3:10" outlineLevel="1">
      <c r="C17" s="4" t="s">
        <v>13</v>
      </c>
      <c r="D17" s="4">
        <v>7</v>
      </c>
      <c r="E17" s="4">
        <v>73</v>
      </c>
      <c r="F17" s="4"/>
      <c r="G17" s="4"/>
      <c r="H17" s="4"/>
      <c r="I17" s="4">
        <f t="shared" ref="I17:I24" si="4">SUM(D17:H17)</f>
        <v>80</v>
      </c>
      <c r="J17" s="11">
        <f t="shared" ref="J17:J24" si="5">I17+((COUNTIF(D17:H17,"&gt;=50")-COUNTIF(D17:H17,"&gt;=100"))*10)+(COUNTIF(D17:H17,"&gt;=100")*20)</f>
        <v>90</v>
      </c>
    </row>
    <row r="18" spans="3:10" outlineLevel="1">
      <c r="C18" s="4" t="s">
        <v>14</v>
      </c>
      <c r="D18" s="4">
        <v>43</v>
      </c>
      <c r="E18" s="4">
        <v>5</v>
      </c>
      <c r="F18" s="4"/>
      <c r="G18" s="4"/>
      <c r="H18" s="4"/>
      <c r="I18" s="4">
        <f t="shared" si="4"/>
        <v>48</v>
      </c>
      <c r="J18" s="11">
        <f t="shared" si="5"/>
        <v>48</v>
      </c>
    </row>
    <row r="19" spans="3:10" outlineLevel="1">
      <c r="C19" s="4" t="s">
        <v>15</v>
      </c>
      <c r="D19" s="4">
        <v>76</v>
      </c>
      <c r="E19" s="4">
        <v>3</v>
      </c>
      <c r="F19" s="4"/>
      <c r="G19" s="4"/>
      <c r="H19" s="4"/>
      <c r="I19" s="4">
        <f t="shared" si="4"/>
        <v>79</v>
      </c>
      <c r="J19" s="11">
        <f t="shared" si="5"/>
        <v>89</v>
      </c>
    </row>
    <row r="20" spans="3:10" outlineLevel="1">
      <c r="C20" s="4" t="s">
        <v>16</v>
      </c>
      <c r="D20" s="4">
        <v>73</v>
      </c>
      <c r="E20" s="4">
        <v>9</v>
      </c>
      <c r="F20" s="4"/>
      <c r="G20" s="4"/>
      <c r="H20" s="4"/>
      <c r="I20" s="4">
        <f t="shared" si="4"/>
        <v>82</v>
      </c>
      <c r="J20" s="11">
        <f t="shared" si="5"/>
        <v>92</v>
      </c>
    </row>
    <row r="21" spans="3:10" outlineLevel="1">
      <c r="C21" s="4" t="s">
        <v>17</v>
      </c>
      <c r="D21" s="4">
        <v>5</v>
      </c>
      <c r="E21" s="4">
        <v>11</v>
      </c>
      <c r="F21" s="4"/>
      <c r="G21" s="4"/>
      <c r="H21" s="4"/>
      <c r="I21" s="4">
        <f t="shared" si="4"/>
        <v>16</v>
      </c>
      <c r="J21" s="11">
        <f t="shared" si="5"/>
        <v>16</v>
      </c>
    </row>
    <row r="22" spans="3:10" outlineLevel="1">
      <c r="C22" s="4" t="s">
        <v>18</v>
      </c>
      <c r="D22" s="4">
        <v>3</v>
      </c>
      <c r="E22" s="4">
        <v>4</v>
      </c>
      <c r="F22" s="4"/>
      <c r="G22" s="4"/>
      <c r="H22" s="4"/>
      <c r="I22" s="4">
        <f t="shared" si="4"/>
        <v>7</v>
      </c>
      <c r="J22" s="11">
        <f t="shared" si="5"/>
        <v>7</v>
      </c>
    </row>
    <row r="23" spans="3:10" outlineLevel="1">
      <c r="C23" s="4" t="s">
        <v>19</v>
      </c>
      <c r="D23" s="4">
        <v>9</v>
      </c>
      <c r="E23" s="4">
        <v>7</v>
      </c>
      <c r="F23" s="4"/>
      <c r="G23" s="4"/>
      <c r="H23" s="4"/>
      <c r="I23" s="4">
        <f t="shared" si="4"/>
        <v>16</v>
      </c>
      <c r="J23" s="11">
        <f t="shared" si="5"/>
        <v>16</v>
      </c>
    </row>
    <row r="24" spans="3:10" outlineLevel="1">
      <c r="C24" s="4" t="s">
        <v>20</v>
      </c>
      <c r="D24" s="4">
        <v>11</v>
      </c>
      <c r="E24" s="4">
        <v>9</v>
      </c>
      <c r="F24" s="4"/>
      <c r="G24" s="4"/>
      <c r="H24" s="4"/>
      <c r="I24" s="4">
        <f t="shared" si="4"/>
        <v>20</v>
      </c>
      <c r="J24" s="11">
        <f t="shared" si="5"/>
        <v>20</v>
      </c>
    </row>
  </sheetData>
  <mergeCells count="1">
    <mergeCell ref="D2:H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P24"/>
  <sheetViews>
    <sheetView topLeftCell="A4" workbookViewId="0">
      <selection activeCell="L15" sqref="L15"/>
    </sheetView>
  </sheetViews>
  <sheetFormatPr defaultRowHeight="14.5" outlineLevelRow="1"/>
  <cols>
    <col min="10" max="10" width="11.453125" bestFit="1" customWidth="1"/>
    <col min="16" max="16" width="26" bestFit="1" customWidth="1"/>
  </cols>
  <sheetData>
    <row r="2" spans="2:16">
      <c r="D2" s="15" t="s">
        <v>21</v>
      </c>
      <c r="E2" s="15"/>
      <c r="F2" s="15"/>
      <c r="G2" s="15"/>
      <c r="H2" s="15"/>
      <c r="I2" s="1"/>
    </row>
    <row r="3" spans="2:16">
      <c r="D3" s="13">
        <v>1</v>
      </c>
      <c r="E3" s="13">
        <v>2</v>
      </c>
      <c r="F3" s="13">
        <v>3</v>
      </c>
      <c r="G3" s="13">
        <v>4</v>
      </c>
      <c r="H3" s="13">
        <v>5</v>
      </c>
      <c r="I3" s="13" t="s">
        <v>29</v>
      </c>
      <c r="J3" s="13" t="s">
        <v>22</v>
      </c>
    </row>
    <row r="4" spans="2:16">
      <c r="B4" s="9" t="s">
        <v>0</v>
      </c>
    </row>
    <row r="5" spans="2:16" outlineLevel="1">
      <c r="C5" s="4" t="s">
        <v>1</v>
      </c>
      <c r="D5" s="4">
        <v>0</v>
      </c>
      <c r="E5" s="4">
        <v>0</v>
      </c>
      <c r="F5" s="4"/>
      <c r="G5" s="4"/>
      <c r="H5" s="4"/>
      <c r="I5" s="4">
        <f>SUM(D5:H5)</f>
        <v>0</v>
      </c>
      <c r="J5" s="11">
        <f>I5*20+((COUNTIF(D5:H5,"&gt;=4")-COUNTIF(D5:H5,"&gt;=5"))*20)+(COUNTIF(D5:H5,"&gt;=5")*25)</f>
        <v>0</v>
      </c>
      <c r="L5" s="2"/>
      <c r="M5" s="2"/>
    </row>
    <row r="6" spans="2:16" outlineLevel="1">
      <c r="C6" s="4" t="s">
        <v>2</v>
      </c>
      <c r="D6" s="4">
        <v>1</v>
      </c>
      <c r="E6" s="4">
        <v>0</v>
      </c>
      <c r="F6" s="4"/>
      <c r="G6" s="4"/>
      <c r="H6" s="4"/>
      <c r="I6" s="4">
        <f t="shared" ref="I6:I14" si="0">SUM(D6:H6)</f>
        <v>1</v>
      </c>
      <c r="J6" s="11">
        <f t="shared" ref="J6:J24" si="1">I6*20+((COUNTIF(D6:H6,"&gt;=4")-COUNTIF(D6:H6,"&gt;=5"))*20)+(COUNTIF(D6:H6,"&gt;=5")*25)</f>
        <v>20</v>
      </c>
      <c r="L6" s="2"/>
      <c r="M6" s="2"/>
      <c r="P6" t="s">
        <v>42</v>
      </c>
    </row>
    <row r="7" spans="2:16" outlineLevel="1">
      <c r="C7" s="4" t="s">
        <v>3</v>
      </c>
      <c r="D7" s="4">
        <v>0</v>
      </c>
      <c r="E7" s="4">
        <v>0</v>
      </c>
      <c r="F7" s="4"/>
      <c r="G7" s="4"/>
      <c r="H7" s="4"/>
      <c r="I7" s="4">
        <f t="shared" si="0"/>
        <v>0</v>
      </c>
      <c r="J7" s="11">
        <f t="shared" si="1"/>
        <v>0</v>
      </c>
      <c r="L7" s="2"/>
      <c r="M7" s="2"/>
      <c r="P7" t="s">
        <v>27</v>
      </c>
    </row>
    <row r="8" spans="2:16" outlineLevel="1">
      <c r="C8" s="4" t="s">
        <v>4</v>
      </c>
      <c r="D8" s="4">
        <v>0</v>
      </c>
      <c r="E8" s="4">
        <v>0</v>
      </c>
      <c r="F8" s="4"/>
      <c r="G8" s="4"/>
      <c r="H8" s="4"/>
      <c r="I8" s="4">
        <f t="shared" si="0"/>
        <v>0</v>
      </c>
      <c r="J8" s="11">
        <f t="shared" si="1"/>
        <v>0</v>
      </c>
      <c r="L8" s="2"/>
      <c r="M8" s="2"/>
      <c r="P8" t="s">
        <v>28</v>
      </c>
    </row>
    <row r="9" spans="2:16" outlineLevel="1">
      <c r="C9" s="4" t="s">
        <v>7</v>
      </c>
      <c r="D9" s="4">
        <v>2</v>
      </c>
      <c r="E9" s="4">
        <v>1</v>
      </c>
      <c r="F9" s="4"/>
      <c r="G9" s="4"/>
      <c r="H9" s="4"/>
      <c r="I9" s="4">
        <f t="shared" si="0"/>
        <v>3</v>
      </c>
      <c r="J9" s="11">
        <f t="shared" si="1"/>
        <v>60</v>
      </c>
      <c r="L9" s="2"/>
      <c r="M9" s="2"/>
    </row>
    <row r="10" spans="2:16" outlineLevel="1">
      <c r="C10" s="4" t="s">
        <v>8</v>
      </c>
      <c r="D10" s="4">
        <v>1</v>
      </c>
      <c r="E10" s="4">
        <v>2</v>
      </c>
      <c r="F10" s="4"/>
      <c r="G10" s="4"/>
      <c r="H10" s="4"/>
      <c r="I10" s="4">
        <f t="shared" si="0"/>
        <v>3</v>
      </c>
      <c r="J10" s="11">
        <f t="shared" si="1"/>
        <v>60</v>
      </c>
      <c r="L10" s="2"/>
      <c r="M10" s="2"/>
    </row>
    <row r="11" spans="2:16" outlineLevel="1">
      <c r="C11" s="4" t="s">
        <v>5</v>
      </c>
      <c r="D11" s="4">
        <v>0</v>
      </c>
      <c r="E11" s="4">
        <v>0</v>
      </c>
      <c r="F11" s="4"/>
      <c r="G11" s="4"/>
      <c r="H11" s="4"/>
      <c r="I11" s="4">
        <f t="shared" si="0"/>
        <v>0</v>
      </c>
      <c r="J11" s="11">
        <f t="shared" si="1"/>
        <v>0</v>
      </c>
      <c r="L11" s="2"/>
      <c r="M11" s="2"/>
    </row>
    <row r="12" spans="2:16" outlineLevel="1">
      <c r="C12" s="4" t="s">
        <v>6</v>
      </c>
      <c r="D12" s="4">
        <v>1</v>
      </c>
      <c r="E12" s="4">
        <v>2</v>
      </c>
      <c r="F12" s="4"/>
      <c r="G12" s="4"/>
      <c r="H12" s="4"/>
      <c r="I12" s="4">
        <f t="shared" si="0"/>
        <v>3</v>
      </c>
      <c r="J12" s="11">
        <f t="shared" si="1"/>
        <v>60</v>
      </c>
      <c r="L12" s="2"/>
      <c r="M12" s="2"/>
    </row>
    <row r="13" spans="2:16" outlineLevel="1">
      <c r="C13" s="4" t="s">
        <v>9</v>
      </c>
      <c r="D13" s="4">
        <v>2</v>
      </c>
      <c r="E13" s="4">
        <v>1</v>
      </c>
      <c r="F13" s="4"/>
      <c r="G13" s="4"/>
      <c r="H13" s="4"/>
      <c r="I13" s="4">
        <f t="shared" si="0"/>
        <v>3</v>
      </c>
      <c r="J13" s="11">
        <f t="shared" si="1"/>
        <v>60</v>
      </c>
      <c r="L13" s="2"/>
      <c r="M13" s="2"/>
    </row>
    <row r="14" spans="2:16" outlineLevel="1">
      <c r="C14" s="4" t="s">
        <v>10</v>
      </c>
      <c r="D14" s="4">
        <v>1</v>
      </c>
      <c r="E14" s="4">
        <v>0</v>
      </c>
      <c r="F14" s="4"/>
      <c r="G14" s="4"/>
      <c r="H14" s="4"/>
      <c r="I14" s="4">
        <f t="shared" si="0"/>
        <v>1</v>
      </c>
      <c r="J14" s="11">
        <f t="shared" si="1"/>
        <v>20</v>
      </c>
      <c r="L14" s="2"/>
      <c r="M14" s="2"/>
    </row>
    <row r="15" spans="2:16">
      <c r="B15" s="9" t="s">
        <v>11</v>
      </c>
      <c r="C15" s="4"/>
      <c r="D15" s="4"/>
      <c r="E15" s="4"/>
      <c r="F15" s="4"/>
      <c r="G15" s="4"/>
      <c r="H15" s="4"/>
      <c r="I15" s="4"/>
      <c r="J15" s="11"/>
    </row>
    <row r="16" spans="2:16" outlineLevel="1">
      <c r="C16" s="4" t="s">
        <v>12</v>
      </c>
      <c r="D16" s="4">
        <v>0</v>
      </c>
      <c r="E16" s="4">
        <v>0</v>
      </c>
      <c r="F16" s="4"/>
      <c r="G16" s="4"/>
      <c r="H16" s="4"/>
      <c r="I16" s="4">
        <f>SUM(D16:H16)</f>
        <v>0</v>
      </c>
      <c r="J16" s="11">
        <f>I16*20+((COUNTIF(D16:H16,"&gt;=4")-COUNTIF(D16:H16,"&gt;=5"))*20)+(COUNTIF(D16:H16,"&gt;=5")*25)</f>
        <v>0</v>
      </c>
    </row>
    <row r="17" spans="3:10" outlineLevel="1">
      <c r="C17" s="4" t="s">
        <v>13</v>
      </c>
      <c r="D17" s="4">
        <v>0</v>
      </c>
      <c r="E17" s="4">
        <v>0</v>
      </c>
      <c r="F17" s="4"/>
      <c r="G17" s="4"/>
      <c r="H17" s="4"/>
      <c r="I17" s="4">
        <f t="shared" ref="I17:I24" si="2">SUM(D17:H17)</f>
        <v>0</v>
      </c>
      <c r="J17" s="11">
        <f t="shared" si="1"/>
        <v>0</v>
      </c>
    </row>
    <row r="18" spans="3:10" outlineLevel="1">
      <c r="C18" s="4" t="s">
        <v>14</v>
      </c>
      <c r="D18" s="4">
        <v>1</v>
      </c>
      <c r="E18" s="4">
        <v>0</v>
      </c>
      <c r="F18" s="4"/>
      <c r="G18" s="4"/>
      <c r="H18" s="4"/>
      <c r="I18" s="4">
        <f t="shared" si="2"/>
        <v>1</v>
      </c>
      <c r="J18" s="11">
        <f t="shared" si="1"/>
        <v>20</v>
      </c>
    </row>
    <row r="19" spans="3:10" outlineLevel="1">
      <c r="C19" s="4" t="s">
        <v>15</v>
      </c>
      <c r="D19" s="4">
        <v>0</v>
      </c>
      <c r="E19" s="4">
        <v>0</v>
      </c>
      <c r="F19" s="4"/>
      <c r="G19" s="4"/>
      <c r="H19" s="4"/>
      <c r="I19" s="4">
        <f t="shared" si="2"/>
        <v>0</v>
      </c>
      <c r="J19" s="11">
        <f t="shared" si="1"/>
        <v>0</v>
      </c>
    </row>
    <row r="20" spans="3:10" outlineLevel="1">
      <c r="C20" s="4" t="s">
        <v>16</v>
      </c>
      <c r="D20" s="4">
        <v>0</v>
      </c>
      <c r="E20" s="4">
        <v>1</v>
      </c>
      <c r="F20" s="4"/>
      <c r="G20" s="4"/>
      <c r="H20" s="4"/>
      <c r="I20" s="4">
        <f t="shared" si="2"/>
        <v>1</v>
      </c>
      <c r="J20" s="11">
        <f t="shared" si="1"/>
        <v>20</v>
      </c>
    </row>
    <row r="21" spans="3:10" outlineLevel="1">
      <c r="C21" s="4" t="s">
        <v>17</v>
      </c>
      <c r="D21" s="4">
        <v>0</v>
      </c>
      <c r="E21" s="4">
        <v>0</v>
      </c>
      <c r="F21" s="4"/>
      <c r="G21" s="4"/>
      <c r="H21" s="4"/>
      <c r="I21" s="4">
        <f t="shared" si="2"/>
        <v>0</v>
      </c>
      <c r="J21" s="11">
        <f t="shared" si="1"/>
        <v>0</v>
      </c>
    </row>
    <row r="22" spans="3:10" outlineLevel="1">
      <c r="C22" s="4" t="s">
        <v>18</v>
      </c>
      <c r="D22" s="4">
        <v>3</v>
      </c>
      <c r="E22" s="4">
        <v>4</v>
      </c>
      <c r="F22" s="4"/>
      <c r="G22" s="4"/>
      <c r="H22" s="4"/>
      <c r="I22" s="4">
        <f t="shared" si="2"/>
        <v>7</v>
      </c>
      <c r="J22" s="11">
        <f t="shared" si="1"/>
        <v>160</v>
      </c>
    </row>
    <row r="23" spans="3:10" outlineLevel="1">
      <c r="C23" s="4" t="s">
        <v>19</v>
      </c>
      <c r="D23" s="4">
        <v>1</v>
      </c>
      <c r="E23" s="4">
        <v>3</v>
      </c>
      <c r="F23" s="4"/>
      <c r="G23" s="4"/>
      <c r="H23" s="4"/>
      <c r="I23" s="4">
        <f t="shared" si="2"/>
        <v>4</v>
      </c>
      <c r="J23" s="11">
        <f t="shared" si="1"/>
        <v>80</v>
      </c>
    </row>
    <row r="24" spans="3:10" outlineLevel="1">
      <c r="C24" s="4" t="s">
        <v>20</v>
      </c>
      <c r="D24" s="4">
        <v>2</v>
      </c>
      <c r="E24" s="4">
        <v>2</v>
      </c>
      <c r="F24" s="4"/>
      <c r="G24" s="4"/>
      <c r="H24" s="4"/>
      <c r="I24" s="4">
        <f t="shared" si="2"/>
        <v>4</v>
      </c>
      <c r="J24" s="11">
        <f t="shared" si="1"/>
        <v>80</v>
      </c>
    </row>
  </sheetData>
  <mergeCells count="1">
    <mergeCell ref="D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M24"/>
  <sheetViews>
    <sheetView workbookViewId="0">
      <selection activeCell="F3" sqref="F3"/>
    </sheetView>
  </sheetViews>
  <sheetFormatPr defaultRowHeight="14.5" outlineLevelRow="1"/>
  <cols>
    <col min="9" max="9" width="26.7265625" bestFit="1" customWidth="1"/>
    <col min="10" max="10" width="11.453125" bestFit="1" customWidth="1"/>
  </cols>
  <sheetData>
    <row r="2" spans="2:13">
      <c r="D2" s="15" t="s">
        <v>21</v>
      </c>
      <c r="E2" s="15"/>
      <c r="F2" s="15"/>
      <c r="G2" s="15"/>
      <c r="H2" s="15"/>
      <c r="I2" s="1"/>
    </row>
    <row r="3" spans="2:13">
      <c r="D3" s="13">
        <v>1</v>
      </c>
      <c r="E3" s="13">
        <v>2</v>
      </c>
      <c r="F3" s="13">
        <v>3</v>
      </c>
      <c r="G3" s="13">
        <v>4</v>
      </c>
      <c r="H3" s="13">
        <v>5</v>
      </c>
      <c r="I3" s="13" t="s">
        <v>30</v>
      </c>
      <c r="J3" s="13" t="s">
        <v>22</v>
      </c>
    </row>
    <row r="4" spans="2:13">
      <c r="B4" s="9" t="s">
        <v>0</v>
      </c>
    </row>
    <row r="5" spans="2:13" outlineLevel="1">
      <c r="C5" s="4" t="s">
        <v>1</v>
      </c>
      <c r="D5" s="4">
        <v>0</v>
      </c>
      <c r="E5" s="4">
        <v>0</v>
      </c>
      <c r="F5" s="4"/>
      <c r="G5" s="4"/>
      <c r="H5" s="4"/>
      <c r="I5" s="4">
        <f>SUM(D5:H5)</f>
        <v>0</v>
      </c>
      <c r="J5" s="11">
        <f>I5*5</f>
        <v>0</v>
      </c>
    </row>
    <row r="6" spans="2:13" outlineLevel="1">
      <c r="C6" s="4" t="s">
        <v>2</v>
      </c>
      <c r="D6" s="4">
        <v>1</v>
      </c>
      <c r="E6" s="4">
        <v>0</v>
      </c>
      <c r="F6" s="4"/>
      <c r="G6" s="4"/>
      <c r="H6" s="4"/>
      <c r="I6" s="4">
        <f t="shared" ref="I6:I14" si="0">SUM(D6:H6)</f>
        <v>1</v>
      </c>
      <c r="J6" s="11">
        <f t="shared" ref="J6:J14" si="1">I6*5</f>
        <v>5</v>
      </c>
      <c r="M6" t="s">
        <v>31</v>
      </c>
    </row>
    <row r="7" spans="2:13" outlineLevel="1">
      <c r="C7" s="4" t="s">
        <v>3</v>
      </c>
      <c r="D7" s="4">
        <v>0</v>
      </c>
      <c r="E7" s="4">
        <v>0</v>
      </c>
      <c r="F7" s="4"/>
      <c r="G7" s="4"/>
      <c r="H7" s="4"/>
      <c r="I7" s="4">
        <f t="shared" si="0"/>
        <v>0</v>
      </c>
      <c r="J7" s="11">
        <f t="shared" si="1"/>
        <v>0</v>
      </c>
    </row>
    <row r="8" spans="2:13" outlineLevel="1">
      <c r="C8" s="4" t="s">
        <v>4</v>
      </c>
      <c r="D8" s="4">
        <v>0</v>
      </c>
      <c r="E8" s="4">
        <v>0</v>
      </c>
      <c r="F8" s="4"/>
      <c r="G8" s="4"/>
      <c r="H8" s="4"/>
      <c r="I8" s="4">
        <f t="shared" si="0"/>
        <v>0</v>
      </c>
      <c r="J8" s="11">
        <f t="shared" si="1"/>
        <v>0</v>
      </c>
    </row>
    <row r="9" spans="2:13" outlineLevel="1">
      <c r="C9" s="4" t="s">
        <v>7</v>
      </c>
      <c r="D9" s="4">
        <v>2</v>
      </c>
      <c r="E9" s="4">
        <v>1</v>
      </c>
      <c r="F9" s="4"/>
      <c r="G9" s="4"/>
      <c r="H9" s="4"/>
      <c r="I9" s="4">
        <f t="shared" si="0"/>
        <v>3</v>
      </c>
      <c r="J9" s="11">
        <f t="shared" si="1"/>
        <v>15</v>
      </c>
    </row>
    <row r="10" spans="2:13" outlineLevel="1">
      <c r="C10" s="4" t="s">
        <v>8</v>
      </c>
      <c r="D10" s="4">
        <v>1</v>
      </c>
      <c r="E10" s="4">
        <v>2</v>
      </c>
      <c r="F10" s="4"/>
      <c r="G10" s="4"/>
      <c r="H10" s="4"/>
      <c r="I10" s="4">
        <f t="shared" si="0"/>
        <v>3</v>
      </c>
      <c r="J10" s="11">
        <f t="shared" si="1"/>
        <v>15</v>
      </c>
    </row>
    <row r="11" spans="2:13" outlineLevel="1">
      <c r="C11" s="4" t="s">
        <v>5</v>
      </c>
      <c r="D11" s="4">
        <v>0</v>
      </c>
      <c r="E11" s="4">
        <v>0</v>
      </c>
      <c r="F11" s="4"/>
      <c r="G11" s="4"/>
      <c r="H11" s="4"/>
      <c r="I11" s="4">
        <f t="shared" si="0"/>
        <v>0</v>
      </c>
      <c r="J11" s="11">
        <f t="shared" si="1"/>
        <v>0</v>
      </c>
    </row>
    <row r="12" spans="2:13" outlineLevel="1">
      <c r="C12" s="4" t="s">
        <v>6</v>
      </c>
      <c r="D12" s="4">
        <v>1</v>
      </c>
      <c r="E12" s="4">
        <v>2</v>
      </c>
      <c r="F12" s="4"/>
      <c r="G12" s="4"/>
      <c r="H12" s="4"/>
      <c r="I12" s="4">
        <f t="shared" si="0"/>
        <v>3</v>
      </c>
      <c r="J12" s="11">
        <f t="shared" si="1"/>
        <v>15</v>
      </c>
    </row>
    <row r="13" spans="2:13" outlineLevel="1">
      <c r="C13" s="4" t="s">
        <v>9</v>
      </c>
      <c r="D13" s="4">
        <v>2</v>
      </c>
      <c r="E13" s="4">
        <v>1</v>
      </c>
      <c r="F13" s="4"/>
      <c r="G13" s="4"/>
      <c r="H13" s="4"/>
      <c r="I13" s="4">
        <f t="shared" si="0"/>
        <v>3</v>
      </c>
      <c r="J13" s="11">
        <f t="shared" si="1"/>
        <v>15</v>
      </c>
    </row>
    <row r="14" spans="2:13" outlineLevel="1">
      <c r="C14" s="4" t="s">
        <v>10</v>
      </c>
      <c r="D14" s="4">
        <v>1</v>
      </c>
      <c r="E14" s="4">
        <v>0</v>
      </c>
      <c r="F14" s="4"/>
      <c r="G14" s="4"/>
      <c r="H14" s="4"/>
      <c r="I14" s="4">
        <f t="shared" si="0"/>
        <v>1</v>
      </c>
      <c r="J14" s="11">
        <f t="shared" si="1"/>
        <v>5</v>
      </c>
    </row>
    <row r="15" spans="2:13">
      <c r="B15" s="9" t="s">
        <v>11</v>
      </c>
      <c r="C15" s="4"/>
      <c r="D15" s="4"/>
      <c r="E15" s="4"/>
      <c r="F15" s="4"/>
      <c r="G15" s="4"/>
      <c r="H15" s="4"/>
      <c r="I15" s="4"/>
      <c r="J15" s="4"/>
    </row>
    <row r="16" spans="2:13" outlineLevel="1">
      <c r="C16" s="4" t="s">
        <v>12</v>
      </c>
      <c r="D16" s="4">
        <v>0</v>
      </c>
      <c r="E16" s="4">
        <v>0</v>
      </c>
      <c r="F16" s="4"/>
      <c r="G16" s="4"/>
      <c r="H16" s="4"/>
      <c r="I16" s="4">
        <f>SUM(D16:H16)</f>
        <v>0</v>
      </c>
      <c r="J16" s="11">
        <f t="shared" ref="J16:J24" si="2">I16*5</f>
        <v>0</v>
      </c>
    </row>
    <row r="17" spans="3:10" outlineLevel="1">
      <c r="C17" s="4" t="s">
        <v>13</v>
      </c>
      <c r="D17" s="4">
        <v>0</v>
      </c>
      <c r="E17" s="4">
        <v>0</v>
      </c>
      <c r="F17" s="4"/>
      <c r="G17" s="4"/>
      <c r="H17" s="4"/>
      <c r="I17" s="4">
        <f t="shared" ref="I17:I24" si="3">SUM(D17:H17)</f>
        <v>0</v>
      </c>
      <c r="J17" s="11">
        <f t="shared" si="2"/>
        <v>0</v>
      </c>
    </row>
    <row r="18" spans="3:10" outlineLevel="1">
      <c r="C18" s="4" t="s">
        <v>14</v>
      </c>
      <c r="D18" s="4">
        <v>1</v>
      </c>
      <c r="E18" s="4">
        <v>0</v>
      </c>
      <c r="F18" s="4"/>
      <c r="G18" s="4"/>
      <c r="H18" s="4"/>
      <c r="I18" s="4">
        <f t="shared" si="3"/>
        <v>1</v>
      </c>
      <c r="J18" s="11">
        <f t="shared" si="2"/>
        <v>5</v>
      </c>
    </row>
    <row r="19" spans="3:10" outlineLevel="1">
      <c r="C19" s="4" t="s">
        <v>15</v>
      </c>
      <c r="D19" s="4">
        <v>0</v>
      </c>
      <c r="E19" s="4">
        <v>0</v>
      </c>
      <c r="F19" s="4"/>
      <c r="G19" s="4"/>
      <c r="H19" s="4"/>
      <c r="I19" s="4">
        <f t="shared" si="3"/>
        <v>0</v>
      </c>
      <c r="J19" s="11">
        <f t="shared" si="2"/>
        <v>0</v>
      </c>
    </row>
    <row r="20" spans="3:10" outlineLevel="1">
      <c r="C20" s="4" t="s">
        <v>16</v>
      </c>
      <c r="D20" s="4">
        <v>0</v>
      </c>
      <c r="E20" s="4">
        <v>1</v>
      </c>
      <c r="F20" s="4"/>
      <c r="G20" s="4"/>
      <c r="H20" s="4"/>
      <c r="I20" s="4">
        <f t="shared" si="3"/>
        <v>1</v>
      </c>
      <c r="J20" s="11">
        <f t="shared" si="2"/>
        <v>5</v>
      </c>
    </row>
    <row r="21" spans="3:10" outlineLevel="1">
      <c r="C21" s="4" t="s">
        <v>17</v>
      </c>
      <c r="D21" s="4">
        <v>0</v>
      </c>
      <c r="E21" s="4">
        <v>0</v>
      </c>
      <c r="F21" s="4"/>
      <c r="G21" s="4"/>
      <c r="H21" s="4"/>
      <c r="I21" s="4">
        <f t="shared" si="3"/>
        <v>0</v>
      </c>
      <c r="J21" s="11">
        <f t="shared" si="2"/>
        <v>0</v>
      </c>
    </row>
    <row r="22" spans="3:10" outlineLevel="1">
      <c r="C22" s="4" t="s">
        <v>18</v>
      </c>
      <c r="D22" s="4">
        <v>3</v>
      </c>
      <c r="E22" s="4">
        <v>4</v>
      </c>
      <c r="F22" s="4"/>
      <c r="G22" s="4"/>
      <c r="H22" s="4"/>
      <c r="I22" s="4">
        <f t="shared" si="3"/>
        <v>7</v>
      </c>
      <c r="J22" s="11">
        <f t="shared" si="2"/>
        <v>35</v>
      </c>
    </row>
    <row r="23" spans="3:10" outlineLevel="1">
      <c r="C23" s="4" t="s">
        <v>19</v>
      </c>
      <c r="D23" s="4">
        <v>1</v>
      </c>
      <c r="E23" s="4">
        <v>3</v>
      </c>
      <c r="F23" s="4"/>
      <c r="G23" s="4"/>
      <c r="H23" s="4"/>
      <c r="I23" s="4">
        <f t="shared" si="3"/>
        <v>4</v>
      </c>
      <c r="J23" s="11">
        <f t="shared" si="2"/>
        <v>20</v>
      </c>
    </row>
    <row r="24" spans="3:10" outlineLevel="1">
      <c r="C24" s="4" t="s">
        <v>20</v>
      </c>
      <c r="D24" s="4">
        <v>2</v>
      </c>
      <c r="E24" s="4">
        <v>2</v>
      </c>
      <c r="F24" s="4"/>
      <c r="G24" s="4"/>
      <c r="H24" s="4"/>
      <c r="I24" s="4">
        <f t="shared" si="3"/>
        <v>4</v>
      </c>
      <c r="J24" s="11">
        <f t="shared" si="2"/>
        <v>20</v>
      </c>
    </row>
  </sheetData>
  <sheetProtection password="C64E" sheet="1" objects="1" scenarios="1"/>
  <mergeCells count="1">
    <mergeCell ref="D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2:C21"/>
  <sheetViews>
    <sheetView workbookViewId="0">
      <selection activeCell="C21" sqref="C21"/>
    </sheetView>
  </sheetViews>
  <sheetFormatPr defaultRowHeight="14.5"/>
  <sheetData>
    <row r="2" spans="2:3">
      <c r="B2" s="3" t="s">
        <v>33</v>
      </c>
      <c r="C2" s="3" t="s">
        <v>32</v>
      </c>
    </row>
    <row r="3" spans="2:3">
      <c r="B3" s="4" t="s">
        <v>1</v>
      </c>
      <c r="C3" s="4">
        <v>20</v>
      </c>
    </row>
    <row r="4" spans="2:3">
      <c r="B4" s="4" t="s">
        <v>2</v>
      </c>
      <c r="C4" s="4">
        <v>18</v>
      </c>
    </row>
    <row r="5" spans="2:3">
      <c r="B5" s="4" t="s">
        <v>3</v>
      </c>
      <c r="C5" s="4">
        <v>10</v>
      </c>
    </row>
    <row r="6" spans="2:3">
      <c r="B6" s="4" t="s">
        <v>4</v>
      </c>
      <c r="C6" s="4">
        <v>8</v>
      </c>
    </row>
    <row r="7" spans="2:3">
      <c r="B7" s="4" t="s">
        <v>7</v>
      </c>
      <c r="C7" s="4">
        <v>9</v>
      </c>
    </row>
    <row r="8" spans="2:3">
      <c r="B8" s="4" t="s">
        <v>8</v>
      </c>
      <c r="C8" s="4">
        <v>7</v>
      </c>
    </row>
    <row r="9" spans="2:3">
      <c r="B9" s="4" t="s">
        <v>5</v>
      </c>
      <c r="C9" s="4">
        <v>14</v>
      </c>
    </row>
    <row r="10" spans="2:3">
      <c r="B10" s="4" t="s">
        <v>6</v>
      </c>
      <c r="C10" s="4">
        <v>12</v>
      </c>
    </row>
    <row r="11" spans="2:3">
      <c r="B11" s="4" t="s">
        <v>9</v>
      </c>
      <c r="C11" s="4">
        <v>10</v>
      </c>
    </row>
    <row r="12" spans="2:3">
      <c r="B12" s="4" t="s">
        <v>10</v>
      </c>
      <c r="C12" s="4">
        <v>6</v>
      </c>
    </row>
    <row r="13" spans="2:3">
      <c r="B13" s="4" t="s">
        <v>12</v>
      </c>
      <c r="C13" s="4">
        <v>16</v>
      </c>
    </row>
    <row r="14" spans="2:3">
      <c r="B14" s="4" t="s">
        <v>13</v>
      </c>
      <c r="C14" s="4">
        <v>14</v>
      </c>
    </row>
    <row r="15" spans="2:3">
      <c r="B15" s="4" t="s">
        <v>14</v>
      </c>
      <c r="C15" s="4">
        <v>20</v>
      </c>
    </row>
    <row r="16" spans="2:3">
      <c r="B16" s="4" t="s">
        <v>15</v>
      </c>
      <c r="C16" s="4">
        <v>15</v>
      </c>
    </row>
    <row r="17" spans="2:3">
      <c r="B17" s="4" t="s">
        <v>16</v>
      </c>
      <c r="C17" s="4">
        <v>12</v>
      </c>
    </row>
    <row r="18" spans="2:3">
      <c r="B18" s="4" t="s">
        <v>17</v>
      </c>
      <c r="C18" s="4">
        <v>8</v>
      </c>
    </row>
    <row r="19" spans="2:3">
      <c r="B19" s="4" t="s">
        <v>18</v>
      </c>
      <c r="C19" s="4">
        <v>18</v>
      </c>
    </row>
    <row r="20" spans="2:3">
      <c r="B20" s="4" t="s">
        <v>19</v>
      </c>
      <c r="C20" s="4">
        <v>16</v>
      </c>
    </row>
    <row r="21" spans="2:3">
      <c r="B21" s="4" t="s">
        <v>20</v>
      </c>
      <c r="C21" s="4">
        <v>13</v>
      </c>
    </row>
  </sheetData>
  <sheetProtection password="CB87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2:G15"/>
  <sheetViews>
    <sheetView tabSelected="1" workbookViewId="0">
      <selection activeCell="B3" sqref="B3"/>
    </sheetView>
  </sheetViews>
  <sheetFormatPr defaultRowHeight="14.5"/>
  <sheetData>
    <row r="2" spans="1:7">
      <c r="A2">
        <v>1</v>
      </c>
      <c r="B2" s="10" t="s">
        <v>41</v>
      </c>
      <c r="C2" s="10" t="s">
        <v>32</v>
      </c>
      <c r="D2" s="10" t="s">
        <v>37</v>
      </c>
      <c r="E2" s="10" t="s">
        <v>38</v>
      </c>
      <c r="F2" s="10" t="s">
        <v>39</v>
      </c>
      <c r="G2" s="10" t="s">
        <v>40</v>
      </c>
    </row>
    <row r="3" spans="1:7">
      <c r="B3" t="e">
        <f>INDEX(Team!A3:F14,$A$2)</f>
        <v>#REF!</v>
      </c>
      <c r="C3">
        <f>INDEX(Team!B3:$F$40,$A$2,$A$2)</f>
        <v>120</v>
      </c>
      <c r="D3">
        <f>INDEX(Team!C3:$F$40,$A$2,$A$2)</f>
        <v>1031</v>
      </c>
      <c r="E3">
        <f>INDEX(Team!D3:$F$40,$A$2,$A$2)</f>
        <v>40</v>
      </c>
      <c r="F3">
        <f>INDEX(Team!E3:$F$40,$A$2,$A$2)</f>
        <v>10</v>
      </c>
      <c r="G3">
        <f>INDEX(Team!F3:$F$40,$A$2,$A$2)</f>
        <v>1081</v>
      </c>
    </row>
    <row r="4" spans="1:7">
      <c r="B4" t="str">
        <f>INDEX(Team!A4:$F$40,$A$2,$A$2)</f>
        <v>Sachin</v>
      </c>
      <c r="C4">
        <f>INDEX(Team!B4:$F$40,$A$2,$A$2)</f>
        <v>20</v>
      </c>
      <c r="D4">
        <f>INDEX(Team!C4:$F$40,$A$2,$A$2)</f>
        <v>412</v>
      </c>
      <c r="E4">
        <f>INDEX(Team!D4:$F$40,$A$2,$A$2)</f>
        <v>0</v>
      </c>
      <c r="F4">
        <f>INDEX(Team!E4:$F$40,$A$2,$A$2)</f>
        <v>0</v>
      </c>
      <c r="G4">
        <f>INDEX(Team!F4:$F$40,$A$2,$A$2)</f>
        <v>412</v>
      </c>
    </row>
    <row r="5" spans="1:7">
      <c r="B5" t="str">
        <f>INDEX(Team!A5:$F$40,$A$2,$A$2)</f>
        <v>Sehwag</v>
      </c>
      <c r="C5">
        <f>INDEX(Team!B5:$F$40,$A$2,$A$2)</f>
        <v>18</v>
      </c>
      <c r="D5">
        <f>INDEX(Team!C5:$F$40,$A$2,$A$2)</f>
        <v>100</v>
      </c>
      <c r="E5">
        <f>INDEX(Team!D5:$F$40,$A$2,$A$2)</f>
        <v>20</v>
      </c>
      <c r="F5">
        <f>INDEX(Team!E5:$F$40,$A$2,$A$2)</f>
        <v>5</v>
      </c>
      <c r="G5">
        <f>INDEX(Team!F5:$F$40,$A$2,$A$2)</f>
        <v>125</v>
      </c>
    </row>
    <row r="6" spans="1:7">
      <c r="B6" t="str">
        <f>INDEX(Team!A6:$F$40,$A$2,$A$2)</f>
        <v>Gambhir</v>
      </c>
      <c r="C6">
        <f>INDEX(Team!B6:$F$40,$A$2,$A$2)</f>
        <v>10</v>
      </c>
      <c r="D6">
        <f>INDEX(Team!C6:$F$40,$A$2,$A$2)</f>
        <v>254</v>
      </c>
      <c r="E6">
        <f>INDEX(Team!D6:$F$40,$A$2,$A$2)</f>
        <v>0</v>
      </c>
      <c r="F6">
        <f>INDEX(Team!E6:$F$40,$A$2,$A$2)</f>
        <v>0</v>
      </c>
      <c r="G6">
        <f>INDEX(Team!F6:$F$40,$A$2,$A$2)</f>
        <v>254</v>
      </c>
    </row>
    <row r="7" spans="1:7">
      <c r="B7" t="str">
        <f>INDEX(Team!A7:$F$40,$A$2,$A$2)</f>
        <v>Viraat</v>
      </c>
      <c r="C7">
        <f>INDEX(Team!B7:$F$40,$A$2,$A$2)</f>
        <v>8</v>
      </c>
      <c r="D7">
        <f>INDEX(Team!C7:$F$40,$A$2,$A$2)</f>
        <v>173</v>
      </c>
      <c r="E7">
        <f>INDEX(Team!D7:$F$40,$A$2,$A$2)</f>
        <v>0</v>
      </c>
      <c r="F7">
        <f>INDEX(Team!E7:$F$40,$A$2,$A$2)</f>
        <v>0</v>
      </c>
      <c r="G7">
        <f>INDEX(Team!F7:$F$40,$A$2,$A$2)</f>
        <v>173</v>
      </c>
    </row>
    <row r="8" spans="1:7">
      <c r="B8" t="str">
        <f>INDEX(Team!A8:$F$40,$A$2,$A$2)</f>
        <v>Duminy</v>
      </c>
      <c r="C8">
        <f>INDEX(Team!B8:$F$40,$A$2,$A$2)</f>
        <v>12</v>
      </c>
      <c r="D8">
        <f>INDEX(Team!C8:$F$40,$A$2,$A$2)</f>
        <v>92</v>
      </c>
      <c r="E8">
        <f>INDEX(Team!D8:$F$40,$A$2,$A$2)</f>
        <v>20</v>
      </c>
      <c r="F8">
        <f>INDEX(Team!E8:$F$40,$A$2,$A$2)</f>
        <v>5</v>
      </c>
      <c r="G8">
        <f>INDEX(Team!F8:$F$40,$A$2,$A$2)</f>
        <v>117</v>
      </c>
    </row>
    <row r="9" spans="1:7">
      <c r="B9" t="str">
        <f>INDEX(Team!A9:$F$40,$A$2,$A$2)</f>
        <v>Rohit</v>
      </c>
      <c r="C9">
        <f>INDEX(Team!B9:$F$40,$A$2,$A$2)</f>
        <v>9</v>
      </c>
      <c r="D9">
        <f>INDEX(Team!C9:$F$40,$A$2,$A$2)</f>
        <v>106</v>
      </c>
      <c r="E9">
        <f>INDEX(Team!D9:$F$40,$A$2,$A$2)</f>
        <v>60</v>
      </c>
      <c r="F9">
        <f>INDEX(Team!E9:$F$40,$A$2,$A$2)</f>
        <v>15</v>
      </c>
      <c r="G9">
        <f>INDEX(Team!F9:$F$40,$A$2,$A$2)</f>
        <v>181</v>
      </c>
    </row>
    <row r="10" spans="1:7">
      <c r="B10" t="str">
        <f>INDEX(Team!A10:$F$40,$A$2,$A$2)</f>
        <v>Raina</v>
      </c>
      <c r="C10">
        <f>INDEX(Team!B10:$F$40,$A$2,$A$2)</f>
        <v>7</v>
      </c>
      <c r="D10">
        <f>INDEX(Team!C10:$F$40,$A$2,$A$2)</f>
        <v>37</v>
      </c>
      <c r="E10">
        <f>INDEX(Team!D10:$F$40,$A$2,$A$2)</f>
        <v>60</v>
      </c>
      <c r="F10">
        <f>INDEX(Team!E10:$F$40,$A$2,$A$2)</f>
        <v>15</v>
      </c>
      <c r="G10">
        <f>INDEX(Team!F10:$F$40,$A$2,$A$2)</f>
        <v>112</v>
      </c>
    </row>
    <row r="11" spans="1:7">
      <c r="B11" t="str">
        <f>INDEX(Team!A11:$F$40,$A$2,$A$2)</f>
        <v>Boucher</v>
      </c>
      <c r="C11">
        <f>INDEX(Team!B11:$F$40,$A$2,$A$2)</f>
        <v>8</v>
      </c>
      <c r="D11">
        <f>INDEX(Team!C11:$F$40,$A$2,$A$2)</f>
        <v>16</v>
      </c>
      <c r="E11">
        <f>INDEX(Team!D11:$F$40,$A$2,$A$2)</f>
        <v>0</v>
      </c>
      <c r="F11">
        <f>INDEX(Team!E11:$F$40,$A$2,$A$2)</f>
        <v>0</v>
      </c>
      <c r="G11">
        <f>INDEX(Team!F11:$F$40,$A$2,$A$2)</f>
        <v>16</v>
      </c>
    </row>
    <row r="12" spans="1:7">
      <c r="B12" t="str">
        <f>INDEX(Team!A12:$F$40,$A$2,$A$2)</f>
        <v>Harbhajan</v>
      </c>
      <c r="C12">
        <f>INDEX(Team!B12:$F$40,$A$2,$A$2)</f>
        <v>12</v>
      </c>
      <c r="D12">
        <f>INDEX(Team!C12:$F$40,$A$2,$A$2)</f>
        <v>9</v>
      </c>
      <c r="E12">
        <f>INDEX(Team!D12:$F$40,$A$2,$A$2)</f>
        <v>60</v>
      </c>
      <c r="F12">
        <f>INDEX(Team!E12:$F$40,$A$2,$A$2)</f>
        <v>15</v>
      </c>
      <c r="G12">
        <f>INDEX(Team!F12:$F$40,$A$2,$A$2)</f>
        <v>84</v>
      </c>
    </row>
    <row r="13" spans="1:7">
      <c r="B13" t="str">
        <f>INDEX(Team!A13:$F$40,$A$2,$A$2)</f>
        <v>Zaheer</v>
      </c>
      <c r="C13">
        <f>INDEX(Team!B13:$F$40,$A$2,$A$2)</f>
        <v>10</v>
      </c>
      <c r="D13">
        <f>INDEX(Team!C13:$F$40,$A$2,$A$2)</f>
        <v>22</v>
      </c>
      <c r="E13">
        <f>INDEX(Team!D13:$F$40,$A$2,$A$2)</f>
        <v>60</v>
      </c>
      <c r="F13">
        <f>INDEX(Team!E13:$F$40,$A$2,$A$2)</f>
        <v>15</v>
      </c>
      <c r="G13">
        <f>INDEX(Team!F13:$F$40,$A$2,$A$2)</f>
        <v>97</v>
      </c>
    </row>
    <row r="14" spans="1:7">
      <c r="B14" t="str">
        <f>INDEX(Team!A14:$F$40,$A$2,$A$2)</f>
        <v>Praveen</v>
      </c>
      <c r="C14">
        <f>INDEX(Team!B14:$F$40,$A$2,$A$2)</f>
        <v>6</v>
      </c>
      <c r="D14">
        <f>INDEX(Team!C14:$F$40,$A$2,$A$2)</f>
        <v>23</v>
      </c>
      <c r="E14">
        <f>INDEX(Team!D14:$F$40,$A$2,$A$2)</f>
        <v>20</v>
      </c>
      <c r="F14">
        <f>INDEX(Team!E14:$F$40,$A$2,$A$2)</f>
        <v>5</v>
      </c>
      <c r="G14">
        <f>INDEX(Team!F14:$F$40,$A$2,$A$2)</f>
        <v>48</v>
      </c>
    </row>
    <row r="15" spans="1:7">
      <c r="B15">
        <f>INDEX(Team!A15:$F$40,$A$2,$A$2)</f>
        <v>0</v>
      </c>
      <c r="C15">
        <f>INDEX(Team!B15:$F$40,$A$2,$A$2)</f>
        <v>0</v>
      </c>
      <c r="D15">
        <f>INDEX(Team!C15:$F$40,$A$2,$A$2)</f>
        <v>0</v>
      </c>
      <c r="E15">
        <f>INDEX(Team!D15:$F$40,$A$2,$A$2)</f>
        <v>0</v>
      </c>
      <c r="F15">
        <f>INDEX(Team!E15:$F$40,$A$2,$A$2)</f>
        <v>0</v>
      </c>
      <c r="G15">
        <f>INDEX(Team!F15:$F$40,$A$2,$A$2)</f>
        <v>0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Team</vt:lpstr>
      <vt:lpstr>Batting</vt:lpstr>
      <vt:lpstr>Bowling</vt:lpstr>
      <vt:lpstr>Fielding</vt:lpstr>
      <vt:lpstr>Player</vt:lpstr>
      <vt:lpstr>Sheet1</vt:lpstr>
      <vt:lpstr>batting</vt:lpstr>
      <vt:lpstr>bowling</vt:lpstr>
      <vt:lpstr>Fielding</vt:lpstr>
      <vt:lpstr>list1</vt:lpstr>
      <vt:lpstr>Player</vt:lpstr>
      <vt:lpstr>Universal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Sameer</dc:creator>
  <cp:lastModifiedBy>sameer sekhar</cp:lastModifiedBy>
  <dcterms:created xsi:type="dcterms:W3CDTF">2011-01-13T07:39:30Z</dcterms:created>
  <dcterms:modified xsi:type="dcterms:W3CDTF">2013-12-08T13:43:19Z</dcterms:modified>
</cp:coreProperties>
</file>