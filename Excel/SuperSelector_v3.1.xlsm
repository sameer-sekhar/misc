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20115" windowHeight="7590"/>
  </bookViews>
  <sheets>
    <sheet name="TeamConfig Simulator" sheetId="17" r:id="rId1"/>
    <sheet name="Main" sheetId="8" r:id="rId2"/>
    <sheet name="TeamConfig" sheetId="13" r:id="rId3"/>
    <sheet name="Batting" sheetId="1" r:id="rId4"/>
    <sheet name="Bowling" sheetId="3" r:id="rId5"/>
    <sheet name="Fielding" sheetId="4" r:id="rId6"/>
    <sheet name="Score" sheetId="7" r:id="rId7"/>
    <sheet name="PlayerPool" sheetId="5" r:id="rId8"/>
    <sheet name="DailyTeamScore" sheetId="14" r:id="rId9"/>
    <sheet name="TotalTeamScore" sheetId="15" r:id="rId10"/>
    <sheet name="SubstitutionLog" sheetId="12" r:id="rId11"/>
  </sheets>
  <definedNames>
    <definedName name="abc">Score!$C$3:$C$35</definedName>
    <definedName name="batting">Batting!$E$10:$Q$40</definedName>
    <definedName name="bowling">Bowling!$E$10:$L$40</definedName>
    <definedName name="Fielding">Fielding!$E$10:$L$40</definedName>
    <definedName name="Player">PlayerPool!$B$3:$B$32</definedName>
    <definedName name="Score">Score!$D$5:$H$35</definedName>
    <definedName name="score_d">Score!$D$3:$H$3</definedName>
    <definedName name="score_p">Score!$C$5:$C$35</definedName>
    <definedName name="Team1" localSheetId="0">#REF!</definedName>
    <definedName name="Team1">#REF!</definedName>
    <definedName name="Universal">PlayerPool!$B$2:$D$32</definedName>
  </definedNames>
  <calcPr calcId="125725"/>
</workbook>
</file>

<file path=xl/calcChain.xml><?xml version="1.0" encoding="utf-8"?>
<calcChain xmlns="http://schemas.openxmlformats.org/spreadsheetml/2006/main">
  <c r="AE16" i="13"/>
  <c r="G7" i="15"/>
  <c r="Z16" i="13"/>
  <c r="G6" i="15"/>
  <c r="U16" i="13"/>
  <c r="G5" i="15"/>
  <c r="P16" i="13"/>
  <c r="G4" i="15"/>
  <c r="K16" i="13"/>
  <c r="G3" i="15"/>
  <c r="F16" i="13"/>
  <c r="G2" i="15"/>
  <c r="J14" i="17"/>
  <c r="H14"/>
  <c r="G14"/>
  <c r="J13"/>
  <c r="H13"/>
  <c r="G13"/>
  <c r="J12"/>
  <c r="H12"/>
  <c r="G12"/>
  <c r="J11"/>
  <c r="H11"/>
  <c r="G11"/>
  <c r="J10"/>
  <c r="H10"/>
  <c r="G10"/>
  <c r="J9"/>
  <c r="H9"/>
  <c r="G9"/>
  <c r="J8"/>
  <c r="H8"/>
  <c r="G8"/>
  <c r="J7"/>
  <c r="H7"/>
  <c r="G7"/>
  <c r="J6"/>
  <c r="H6"/>
  <c r="G6"/>
  <c r="J5"/>
  <c r="H5"/>
  <c r="G5"/>
  <c r="J4"/>
  <c r="J3" s="1"/>
  <c r="H4"/>
  <c r="G4"/>
  <c r="F3"/>
  <c r="AF14" i="13"/>
  <c r="AF13"/>
  <c r="AF12"/>
  <c r="AF11"/>
  <c r="AF10"/>
  <c r="AF9"/>
  <c r="AF8"/>
  <c r="AF7"/>
  <c r="AF6"/>
  <c r="AF5"/>
  <c r="AF4"/>
  <c r="AA14"/>
  <c r="AA13"/>
  <c r="AA12"/>
  <c r="AA11"/>
  <c r="AA10"/>
  <c r="AA9"/>
  <c r="AA8"/>
  <c r="AA7"/>
  <c r="AA6"/>
  <c r="AA5"/>
  <c r="AA4"/>
  <c r="V14"/>
  <c r="V13"/>
  <c r="V12"/>
  <c r="V11"/>
  <c r="V10"/>
  <c r="V9"/>
  <c r="V8"/>
  <c r="V7"/>
  <c r="V6"/>
  <c r="V5"/>
  <c r="V4"/>
  <c r="Q14"/>
  <c r="Q13"/>
  <c r="Q12"/>
  <c r="Q11"/>
  <c r="Q10"/>
  <c r="Q9"/>
  <c r="Q8"/>
  <c r="Q7"/>
  <c r="Q6"/>
  <c r="Q5"/>
  <c r="Q4"/>
  <c r="L14"/>
  <c r="L13"/>
  <c r="L12"/>
  <c r="L11"/>
  <c r="L10"/>
  <c r="L9"/>
  <c r="L8"/>
  <c r="L7"/>
  <c r="L6"/>
  <c r="L5"/>
  <c r="L4"/>
  <c r="G5"/>
  <c r="G6"/>
  <c r="G7"/>
  <c r="G8"/>
  <c r="G9"/>
  <c r="G10"/>
  <c r="G11"/>
  <c r="G12"/>
  <c r="G13"/>
  <c r="G14"/>
  <c r="G4"/>
  <c r="H35" i="7"/>
  <c r="G35"/>
  <c r="F35"/>
  <c r="E35"/>
  <c r="D35"/>
  <c r="C35"/>
  <c r="H34"/>
  <c r="G34"/>
  <c r="F34"/>
  <c r="E34"/>
  <c r="D34"/>
  <c r="C34"/>
  <c r="H33"/>
  <c r="G33"/>
  <c r="F33"/>
  <c r="E33"/>
  <c r="D33"/>
  <c r="C33"/>
  <c r="H32"/>
  <c r="G32"/>
  <c r="F32"/>
  <c r="E32"/>
  <c r="D32"/>
  <c r="C32"/>
  <c r="H31"/>
  <c r="G31"/>
  <c r="F31"/>
  <c r="E31"/>
  <c r="D31"/>
  <c r="C31"/>
  <c r="H30"/>
  <c r="G30"/>
  <c r="F30"/>
  <c r="E30"/>
  <c r="D30"/>
  <c r="C30"/>
  <c r="H29"/>
  <c r="G29"/>
  <c r="F29"/>
  <c r="E29"/>
  <c r="D29"/>
  <c r="C29"/>
  <c r="H28"/>
  <c r="G28"/>
  <c r="F28"/>
  <c r="E28"/>
  <c r="D28"/>
  <c r="C28"/>
  <c r="H27"/>
  <c r="G27"/>
  <c r="F27"/>
  <c r="E27"/>
  <c r="D27"/>
  <c r="C27"/>
  <c r="H26"/>
  <c r="G26"/>
  <c r="F26"/>
  <c r="E26"/>
  <c r="D26"/>
  <c r="C26"/>
  <c r="H25"/>
  <c r="G25"/>
  <c r="F25"/>
  <c r="E25"/>
  <c r="D25"/>
  <c r="C25"/>
  <c r="H24"/>
  <c r="G24"/>
  <c r="F24"/>
  <c r="E24"/>
  <c r="D24"/>
  <c r="C24"/>
  <c r="H23"/>
  <c r="G23"/>
  <c r="F23"/>
  <c r="E23"/>
  <c r="D23"/>
  <c r="C23"/>
  <c r="H22"/>
  <c r="G22"/>
  <c r="F22"/>
  <c r="E22"/>
  <c r="D22"/>
  <c r="C22"/>
  <c r="H21"/>
  <c r="G21"/>
  <c r="F21"/>
  <c r="E21"/>
  <c r="D21"/>
  <c r="I21" s="1"/>
  <c r="C21"/>
  <c r="H19"/>
  <c r="G19"/>
  <c r="F19"/>
  <c r="L19" s="1"/>
  <c r="E19"/>
  <c r="D19"/>
  <c r="C19"/>
  <c r="H18"/>
  <c r="G18"/>
  <c r="F18"/>
  <c r="E18"/>
  <c r="D18"/>
  <c r="K18" s="1"/>
  <c r="I18" s="1"/>
  <c r="C18"/>
  <c r="H17"/>
  <c r="G17"/>
  <c r="F17"/>
  <c r="L17" s="1"/>
  <c r="E17"/>
  <c r="D17"/>
  <c r="C17"/>
  <c r="H16"/>
  <c r="G16"/>
  <c r="F16"/>
  <c r="E16"/>
  <c r="D16"/>
  <c r="K16" s="1"/>
  <c r="I16" s="1"/>
  <c r="C16"/>
  <c r="H15"/>
  <c r="G15"/>
  <c r="F15"/>
  <c r="L15" s="1"/>
  <c r="E15"/>
  <c r="D15"/>
  <c r="C15"/>
  <c r="H14"/>
  <c r="G14"/>
  <c r="F14"/>
  <c r="E14"/>
  <c r="D14"/>
  <c r="C14"/>
  <c r="H13"/>
  <c r="G13"/>
  <c r="F13"/>
  <c r="E13"/>
  <c r="D13"/>
  <c r="C13"/>
  <c r="H12"/>
  <c r="G12"/>
  <c r="F12"/>
  <c r="E12"/>
  <c r="D12"/>
  <c r="C12"/>
  <c r="H11"/>
  <c r="G11"/>
  <c r="F11"/>
  <c r="E11"/>
  <c r="D11"/>
  <c r="C11"/>
  <c r="H10"/>
  <c r="G10"/>
  <c r="F10"/>
  <c r="E10"/>
  <c r="D10"/>
  <c r="C10"/>
  <c r="H9"/>
  <c r="G9"/>
  <c r="F9"/>
  <c r="E9"/>
  <c r="K9" s="1"/>
  <c r="I9" s="1"/>
  <c r="D9"/>
  <c r="C9"/>
  <c r="H8"/>
  <c r="G8"/>
  <c r="F8"/>
  <c r="E8"/>
  <c r="D8"/>
  <c r="K8" s="1"/>
  <c r="I8" s="1"/>
  <c r="C8"/>
  <c r="H7"/>
  <c r="G7"/>
  <c r="F7"/>
  <c r="E7"/>
  <c r="D7"/>
  <c r="L7" s="1"/>
  <c r="C7"/>
  <c r="H6"/>
  <c r="G6"/>
  <c r="F6"/>
  <c r="E6"/>
  <c r="D6"/>
  <c r="C6"/>
  <c r="H5"/>
  <c r="G5"/>
  <c r="F5"/>
  <c r="E5"/>
  <c r="K5" s="1"/>
  <c r="D5"/>
  <c r="C5"/>
  <c r="Q40" i="4"/>
  <c r="P40"/>
  <c r="O40"/>
  <c r="M40"/>
  <c r="K40"/>
  <c r="I40"/>
  <c r="G40"/>
  <c r="E40"/>
  <c r="Q39" s="1"/>
  <c r="P39"/>
  <c r="O39"/>
  <c r="M39"/>
  <c r="K39"/>
  <c r="I39"/>
  <c r="G39"/>
  <c r="E39"/>
  <c r="Q38" s="1"/>
  <c r="P38"/>
  <c r="O38"/>
  <c r="M38"/>
  <c r="K38"/>
  <c r="I38"/>
  <c r="G38"/>
  <c r="E38"/>
  <c r="Q37" s="1"/>
  <c r="P37"/>
  <c r="O37"/>
  <c r="M37"/>
  <c r="K37"/>
  <c r="I37"/>
  <c r="G37"/>
  <c r="E37"/>
  <c r="Q36" s="1"/>
  <c r="P36"/>
  <c r="O36"/>
  <c r="M36"/>
  <c r="K36"/>
  <c r="I36"/>
  <c r="G36"/>
  <c r="E36"/>
  <c r="Q35" s="1"/>
  <c r="P35"/>
  <c r="O35"/>
  <c r="M35"/>
  <c r="K35"/>
  <c r="I35"/>
  <c r="G35"/>
  <c r="E35"/>
  <c r="Q34" s="1"/>
  <c r="P34"/>
  <c r="O34"/>
  <c r="M34"/>
  <c r="K34"/>
  <c r="I34"/>
  <c r="G34"/>
  <c r="E34"/>
  <c r="Q33" s="1"/>
  <c r="P33"/>
  <c r="O33"/>
  <c r="M33"/>
  <c r="K33"/>
  <c r="I33"/>
  <c r="G33"/>
  <c r="E33"/>
  <c r="Q32"/>
  <c r="P32"/>
  <c r="O32"/>
  <c r="M32"/>
  <c r="K32"/>
  <c r="I32"/>
  <c r="G32"/>
  <c r="E32"/>
  <c r="Q31"/>
  <c r="P31"/>
  <c r="O31"/>
  <c r="M31"/>
  <c r="K31"/>
  <c r="I31"/>
  <c r="G31"/>
  <c r="E31"/>
  <c r="Q30"/>
  <c r="P30"/>
  <c r="O30"/>
  <c r="M30"/>
  <c r="K30"/>
  <c r="I30"/>
  <c r="G30"/>
  <c r="E30"/>
  <c r="Q29"/>
  <c r="P29"/>
  <c r="O29"/>
  <c r="M29"/>
  <c r="K29"/>
  <c r="I29"/>
  <c r="G29"/>
  <c r="E29"/>
  <c r="Q28"/>
  <c r="P28"/>
  <c r="O28"/>
  <c r="M28"/>
  <c r="K28"/>
  <c r="I28"/>
  <c r="G28"/>
  <c r="E28"/>
  <c r="Q27"/>
  <c r="P27"/>
  <c r="O27"/>
  <c r="M27"/>
  <c r="K27"/>
  <c r="I27"/>
  <c r="G27"/>
  <c r="E27"/>
  <c r="Q26"/>
  <c r="P26"/>
  <c r="O26"/>
  <c r="M26"/>
  <c r="K26"/>
  <c r="I26"/>
  <c r="G26"/>
  <c r="E26"/>
  <c r="Q24"/>
  <c r="P24"/>
  <c r="O24"/>
  <c r="M24"/>
  <c r="K24"/>
  <c r="I24"/>
  <c r="G24"/>
  <c r="E24"/>
  <c r="Q23"/>
  <c r="P23"/>
  <c r="O23"/>
  <c r="M23"/>
  <c r="K23"/>
  <c r="I23"/>
  <c r="G23"/>
  <c r="E23"/>
  <c r="Q22"/>
  <c r="P22"/>
  <c r="O22"/>
  <c r="M22"/>
  <c r="K22"/>
  <c r="I22"/>
  <c r="G22"/>
  <c r="E22"/>
  <c r="Q21"/>
  <c r="P21"/>
  <c r="O21"/>
  <c r="M21"/>
  <c r="K21"/>
  <c r="I21"/>
  <c r="G21"/>
  <c r="E21"/>
  <c r="Q20"/>
  <c r="P20"/>
  <c r="O20"/>
  <c r="M20"/>
  <c r="K20"/>
  <c r="I20"/>
  <c r="G20"/>
  <c r="E20"/>
  <c r="Q19"/>
  <c r="P19"/>
  <c r="O19"/>
  <c r="M19"/>
  <c r="K19"/>
  <c r="I19"/>
  <c r="G19"/>
  <c r="E19"/>
  <c r="Q18"/>
  <c r="P18"/>
  <c r="O18"/>
  <c r="M18"/>
  <c r="K18"/>
  <c r="I18"/>
  <c r="G18"/>
  <c r="E18"/>
  <c r="Q17"/>
  <c r="P17"/>
  <c r="O17"/>
  <c r="M17"/>
  <c r="K17"/>
  <c r="I17"/>
  <c r="G17"/>
  <c r="E17"/>
  <c r="Q16"/>
  <c r="P16"/>
  <c r="O16"/>
  <c r="M16"/>
  <c r="K16"/>
  <c r="I16"/>
  <c r="G16"/>
  <c r="E16"/>
  <c r="Q15"/>
  <c r="P15"/>
  <c r="O15"/>
  <c r="M15"/>
  <c r="K15"/>
  <c r="I15"/>
  <c r="G15"/>
  <c r="E15"/>
  <c r="Q14"/>
  <c r="P14"/>
  <c r="O14"/>
  <c r="M14"/>
  <c r="K14"/>
  <c r="I14"/>
  <c r="G14"/>
  <c r="E14"/>
  <c r="Q13"/>
  <c r="P13"/>
  <c r="O13"/>
  <c r="M13"/>
  <c r="K13"/>
  <c r="I13"/>
  <c r="G13"/>
  <c r="E13"/>
  <c r="Q12"/>
  <c r="P12"/>
  <c r="O12"/>
  <c r="M12"/>
  <c r="K12"/>
  <c r="I12"/>
  <c r="G12"/>
  <c r="E12"/>
  <c r="Q11"/>
  <c r="P11"/>
  <c r="O11"/>
  <c r="M11"/>
  <c r="K11"/>
  <c r="I11"/>
  <c r="G11"/>
  <c r="E11"/>
  <c r="Q10"/>
  <c r="P10"/>
  <c r="O10"/>
  <c r="M10"/>
  <c r="K10"/>
  <c r="I10"/>
  <c r="G10"/>
  <c r="E10"/>
  <c r="Q40" i="3"/>
  <c r="P40"/>
  <c r="O40"/>
  <c r="M40"/>
  <c r="K40"/>
  <c r="I40"/>
  <c r="G40"/>
  <c r="E40"/>
  <c r="Q39"/>
  <c r="P39"/>
  <c r="O39"/>
  <c r="M39"/>
  <c r="K39"/>
  <c r="I39"/>
  <c r="G39"/>
  <c r="E39"/>
  <c r="Q38"/>
  <c r="P38"/>
  <c r="O38"/>
  <c r="M38"/>
  <c r="K38"/>
  <c r="I38"/>
  <c r="G38"/>
  <c r="E38"/>
  <c r="Q37"/>
  <c r="P37"/>
  <c r="O37"/>
  <c r="M37"/>
  <c r="K37"/>
  <c r="I37"/>
  <c r="G37"/>
  <c r="E37"/>
  <c r="Q36"/>
  <c r="P36"/>
  <c r="O36"/>
  <c r="M36"/>
  <c r="K36"/>
  <c r="I36"/>
  <c r="G36"/>
  <c r="E36"/>
  <c r="Q35"/>
  <c r="P35"/>
  <c r="O35"/>
  <c r="M35"/>
  <c r="K35"/>
  <c r="I35"/>
  <c r="G35"/>
  <c r="E35"/>
  <c r="Q34"/>
  <c r="P34"/>
  <c r="O34"/>
  <c r="M34"/>
  <c r="K34"/>
  <c r="I34"/>
  <c r="G34"/>
  <c r="E34"/>
  <c r="Q33"/>
  <c r="P33"/>
  <c r="O33"/>
  <c r="M33"/>
  <c r="K33"/>
  <c r="I33"/>
  <c r="G33"/>
  <c r="E33"/>
  <c r="Q32"/>
  <c r="P32"/>
  <c r="O32"/>
  <c r="M32"/>
  <c r="K32"/>
  <c r="I32"/>
  <c r="G32"/>
  <c r="E32"/>
  <c r="Q31"/>
  <c r="P31"/>
  <c r="O31"/>
  <c r="M31"/>
  <c r="K31"/>
  <c r="I31"/>
  <c r="G31"/>
  <c r="E31"/>
  <c r="Q30"/>
  <c r="P30"/>
  <c r="O30"/>
  <c r="M30"/>
  <c r="K30"/>
  <c r="I30"/>
  <c r="G30"/>
  <c r="E30"/>
  <c r="Q29"/>
  <c r="P29"/>
  <c r="O29"/>
  <c r="M29"/>
  <c r="K29"/>
  <c r="I29"/>
  <c r="G29"/>
  <c r="E29"/>
  <c r="Q28"/>
  <c r="P28"/>
  <c r="O28"/>
  <c r="M28"/>
  <c r="K28"/>
  <c r="I28"/>
  <c r="G28"/>
  <c r="E28"/>
  <c r="Q27"/>
  <c r="P27"/>
  <c r="O27"/>
  <c r="M27"/>
  <c r="K27"/>
  <c r="I27"/>
  <c r="G27"/>
  <c r="E27"/>
  <c r="Q26"/>
  <c r="P26"/>
  <c r="O26"/>
  <c r="M26"/>
  <c r="K26"/>
  <c r="I26"/>
  <c r="G26"/>
  <c r="E26"/>
  <c r="Q24"/>
  <c r="P24"/>
  <c r="O24"/>
  <c r="M24"/>
  <c r="K24"/>
  <c r="I24"/>
  <c r="G24"/>
  <c r="E24"/>
  <c r="Q23"/>
  <c r="P23"/>
  <c r="O23"/>
  <c r="M23"/>
  <c r="K23"/>
  <c r="I23"/>
  <c r="G23"/>
  <c r="E23"/>
  <c r="Q22"/>
  <c r="P22"/>
  <c r="O22"/>
  <c r="M22"/>
  <c r="K22"/>
  <c r="I22"/>
  <c r="G22"/>
  <c r="E22"/>
  <c r="Q21"/>
  <c r="P21"/>
  <c r="O21"/>
  <c r="M21"/>
  <c r="K21"/>
  <c r="I21"/>
  <c r="G21"/>
  <c r="E21"/>
  <c r="Q20"/>
  <c r="P20"/>
  <c r="O20"/>
  <c r="M20"/>
  <c r="K20"/>
  <c r="I20"/>
  <c r="G20"/>
  <c r="E20"/>
  <c r="Q19"/>
  <c r="P19"/>
  <c r="O19"/>
  <c r="M19"/>
  <c r="K19"/>
  <c r="I19"/>
  <c r="G19"/>
  <c r="E19"/>
  <c r="Q18"/>
  <c r="P18"/>
  <c r="O18"/>
  <c r="M18"/>
  <c r="K18"/>
  <c r="I18"/>
  <c r="G18"/>
  <c r="E18"/>
  <c r="Q17"/>
  <c r="P17"/>
  <c r="O17"/>
  <c r="M17"/>
  <c r="K17"/>
  <c r="I17"/>
  <c r="G17"/>
  <c r="E17"/>
  <c r="Q16"/>
  <c r="P16"/>
  <c r="O16"/>
  <c r="M16"/>
  <c r="K16"/>
  <c r="I16"/>
  <c r="G16"/>
  <c r="E16"/>
  <c r="Q15"/>
  <c r="P15"/>
  <c r="O15"/>
  <c r="M15"/>
  <c r="K15"/>
  <c r="I15"/>
  <c r="G15"/>
  <c r="E15"/>
  <c r="Q14"/>
  <c r="P14"/>
  <c r="O14"/>
  <c r="M14"/>
  <c r="K14"/>
  <c r="I14"/>
  <c r="G14"/>
  <c r="E14"/>
  <c r="Q13"/>
  <c r="P13"/>
  <c r="O13"/>
  <c r="M13"/>
  <c r="K13"/>
  <c r="I13"/>
  <c r="G13"/>
  <c r="E13"/>
  <c r="Q12"/>
  <c r="P12"/>
  <c r="O12"/>
  <c r="M12"/>
  <c r="K12"/>
  <c r="I12"/>
  <c r="G12"/>
  <c r="E12"/>
  <c r="Q11"/>
  <c r="P11"/>
  <c r="O11"/>
  <c r="M11"/>
  <c r="K11"/>
  <c r="I11"/>
  <c r="G11"/>
  <c r="E11"/>
  <c r="Q10"/>
  <c r="P10"/>
  <c r="O10"/>
  <c r="M10"/>
  <c r="K10"/>
  <c r="I10"/>
  <c r="G10"/>
  <c r="E10"/>
  <c r="Q40" i="1"/>
  <c r="P40"/>
  <c r="G40"/>
  <c r="E40"/>
  <c r="Q39" s="1"/>
  <c r="P39"/>
  <c r="G39"/>
  <c r="E39"/>
  <c r="Q38" s="1"/>
  <c r="P38"/>
  <c r="G38"/>
  <c r="E38"/>
  <c r="Q37" s="1"/>
  <c r="P37"/>
  <c r="G37"/>
  <c r="E37"/>
  <c r="Q36" s="1"/>
  <c r="P36"/>
  <c r="G36"/>
  <c r="E36"/>
  <c r="Q35"/>
  <c r="P35"/>
  <c r="G35"/>
  <c r="E35"/>
  <c r="Q34" s="1"/>
  <c r="P34"/>
  <c r="G34"/>
  <c r="E34"/>
  <c r="Q33" s="1"/>
  <c r="P33"/>
  <c r="G33"/>
  <c r="E33"/>
  <c r="Q32" s="1"/>
  <c r="P32"/>
  <c r="G32"/>
  <c r="E32"/>
  <c r="Q31" s="1"/>
  <c r="P31"/>
  <c r="G31"/>
  <c r="E31"/>
  <c r="Q30" s="1"/>
  <c r="P30"/>
  <c r="G30"/>
  <c r="E30"/>
  <c r="Q29" s="1"/>
  <c r="P29"/>
  <c r="G29"/>
  <c r="E29"/>
  <c r="Q28" s="1"/>
  <c r="P28"/>
  <c r="G28"/>
  <c r="E28"/>
  <c r="Q27" s="1"/>
  <c r="P27"/>
  <c r="G27"/>
  <c r="E27"/>
  <c r="Q26" s="1"/>
  <c r="P26"/>
  <c r="G26"/>
  <c r="E26"/>
  <c r="Q25"/>
  <c r="P25"/>
  <c r="T24"/>
  <c r="S24"/>
  <c r="Q24" s="1"/>
  <c r="P24"/>
  <c r="G24"/>
  <c r="E24"/>
  <c r="T23"/>
  <c r="S23"/>
  <c r="Q23" s="1"/>
  <c r="P23"/>
  <c r="G23"/>
  <c r="E23"/>
  <c r="T22"/>
  <c r="S22"/>
  <c r="Q22" s="1"/>
  <c r="P22"/>
  <c r="G22"/>
  <c r="E22"/>
  <c r="Q21" s="1"/>
  <c r="P21"/>
  <c r="G21"/>
  <c r="E21"/>
  <c r="Q20" s="1"/>
  <c r="P20"/>
  <c r="G20"/>
  <c r="E20"/>
  <c r="Q19" s="1"/>
  <c r="P19"/>
  <c r="G19"/>
  <c r="E19"/>
  <c r="Q18" s="1"/>
  <c r="P18"/>
  <c r="G18"/>
  <c r="E18"/>
  <c r="Q17" s="1"/>
  <c r="P17"/>
  <c r="G17"/>
  <c r="E17"/>
  <c r="T16"/>
  <c r="S16"/>
  <c r="Q16" s="1"/>
  <c r="P16"/>
  <c r="G16"/>
  <c r="E16"/>
  <c r="T15"/>
  <c r="S15"/>
  <c r="Q15" s="1"/>
  <c r="P15"/>
  <c r="G15"/>
  <c r="E15"/>
  <c r="T14"/>
  <c r="S14"/>
  <c r="Q14" s="1"/>
  <c r="P14"/>
  <c r="G14"/>
  <c r="E14"/>
  <c r="T13"/>
  <c r="S13"/>
  <c r="Q13" s="1"/>
  <c r="P13"/>
  <c r="G13"/>
  <c r="E13"/>
  <c r="T12"/>
  <c r="S12"/>
  <c r="Q12" s="1"/>
  <c r="P12"/>
  <c r="G12"/>
  <c r="E12"/>
  <c r="T11"/>
  <c r="S11"/>
  <c r="Q11" s="1"/>
  <c r="P11"/>
  <c r="G11"/>
  <c r="E11"/>
  <c r="T10"/>
  <c r="S10"/>
  <c r="R10"/>
  <c r="Q10" s="1"/>
  <c r="P10"/>
  <c r="G10"/>
  <c r="E10"/>
  <c r="AI14" i="13"/>
  <c r="AG14"/>
  <c r="AD14"/>
  <c r="AB14"/>
  <c r="Y14"/>
  <c r="W14"/>
  <c r="T14"/>
  <c r="R14"/>
  <c r="O14"/>
  <c r="M14"/>
  <c r="J14"/>
  <c r="H14"/>
  <c r="AI13"/>
  <c r="AG13"/>
  <c r="AD13"/>
  <c r="AB13"/>
  <c r="Y13"/>
  <c r="W13"/>
  <c r="T13"/>
  <c r="R13"/>
  <c r="O13"/>
  <c r="M13"/>
  <c r="J13"/>
  <c r="H13"/>
  <c r="AI12"/>
  <c r="AG12"/>
  <c r="AD12"/>
  <c r="AB12"/>
  <c r="Y12"/>
  <c r="W12"/>
  <c r="T12"/>
  <c r="R12"/>
  <c r="O12"/>
  <c r="M12"/>
  <c r="J12"/>
  <c r="H12"/>
  <c r="AI11"/>
  <c r="AG11"/>
  <c r="AD11"/>
  <c r="AB11"/>
  <c r="Y11"/>
  <c r="W11"/>
  <c r="T11"/>
  <c r="R11"/>
  <c r="O11"/>
  <c r="M11"/>
  <c r="J11"/>
  <c r="H11"/>
  <c r="AI10"/>
  <c r="AG10"/>
  <c r="AD10"/>
  <c r="AB10"/>
  <c r="Y10"/>
  <c r="W10"/>
  <c r="T10"/>
  <c r="R10"/>
  <c r="O10"/>
  <c r="M10"/>
  <c r="J10"/>
  <c r="H10"/>
  <c r="AI9"/>
  <c r="AG9"/>
  <c r="AD9"/>
  <c r="AB9"/>
  <c r="Y9"/>
  <c r="W9"/>
  <c r="T9"/>
  <c r="R9"/>
  <c r="O9"/>
  <c r="M9"/>
  <c r="J9"/>
  <c r="H9"/>
  <c r="AI8"/>
  <c r="AG8"/>
  <c r="AD8"/>
  <c r="AB8"/>
  <c r="Y8"/>
  <c r="W8"/>
  <c r="T8"/>
  <c r="R8"/>
  <c r="O8"/>
  <c r="M8"/>
  <c r="J8"/>
  <c r="H8"/>
  <c r="AI7"/>
  <c r="AG7"/>
  <c r="AD7"/>
  <c r="AB7"/>
  <c r="Y7"/>
  <c r="W7"/>
  <c r="T7"/>
  <c r="R7"/>
  <c r="O7"/>
  <c r="M7"/>
  <c r="J7"/>
  <c r="H7"/>
  <c r="AI6"/>
  <c r="AG6"/>
  <c r="AD6"/>
  <c r="AB6"/>
  <c r="Y6"/>
  <c r="W6"/>
  <c r="T6"/>
  <c r="R6"/>
  <c r="O6"/>
  <c r="M6"/>
  <c r="J6"/>
  <c r="H6"/>
  <c r="AI5"/>
  <c r="AG5"/>
  <c r="AD5"/>
  <c r="AB5"/>
  <c r="Y5"/>
  <c r="W5"/>
  <c r="T5"/>
  <c r="R5"/>
  <c r="O5"/>
  <c r="M5"/>
  <c r="J5"/>
  <c r="H5"/>
  <c r="AI4"/>
  <c r="AG4"/>
  <c r="AD4"/>
  <c r="AB4"/>
  <c r="Y4"/>
  <c r="W4"/>
  <c r="T4"/>
  <c r="R4"/>
  <c r="O4"/>
  <c r="M4"/>
  <c r="J4"/>
  <c r="H4"/>
  <c r="AE17"/>
  <c r="AE3"/>
  <c r="Z17"/>
  <c r="Z3"/>
  <c r="U17"/>
  <c r="F2" i="17" l="1"/>
  <c r="AE18" i="13"/>
  <c r="Z18"/>
  <c r="U18"/>
  <c r="AI3"/>
  <c r="AE2" s="1"/>
  <c r="AD3"/>
  <c r="Z2" s="1"/>
  <c r="Y3"/>
  <c r="U2" s="1"/>
  <c r="L5" i="7"/>
  <c r="K6"/>
  <c r="I6" s="1"/>
  <c r="L6"/>
  <c r="L8"/>
  <c r="K15"/>
  <c r="I15" s="1"/>
  <c r="L16"/>
  <c r="K17"/>
  <c r="I17" s="1"/>
  <c r="L18"/>
  <c r="K19"/>
  <c r="I19" s="1"/>
  <c r="J5"/>
  <c r="K7"/>
  <c r="I7" s="1"/>
  <c r="L9"/>
  <c r="I14"/>
  <c r="I10"/>
  <c r="I12"/>
  <c r="I23"/>
  <c r="I25"/>
  <c r="I27"/>
  <c r="I29"/>
  <c r="I31"/>
  <c r="I33"/>
  <c r="I35"/>
  <c r="I5"/>
  <c r="I11"/>
  <c r="I13"/>
  <c r="I22"/>
  <c r="I24"/>
  <c r="I26"/>
  <c r="I28"/>
  <c r="I30"/>
  <c r="I32"/>
  <c r="I34"/>
  <c r="U3" i="13"/>
  <c r="P17" l="1"/>
  <c r="P18" s="1"/>
  <c r="T3"/>
  <c r="P2" s="1"/>
  <c r="P3"/>
  <c r="K17"/>
  <c r="K18" s="1"/>
  <c r="O3"/>
  <c r="K2" s="1"/>
  <c r="K3"/>
  <c r="F17"/>
  <c r="F18" s="1"/>
  <c r="J3"/>
  <c r="F2" s="1"/>
  <c r="F3"/>
  <c r="AE15"/>
  <c r="Z15" s="1"/>
  <c r="U15"/>
  <c r="F15" l="1"/>
  <c r="P15"/>
  <c r="K15"/>
</calcChain>
</file>

<file path=xl/sharedStrings.xml><?xml version="1.0" encoding="utf-8"?>
<sst xmlns="http://schemas.openxmlformats.org/spreadsheetml/2006/main" count="548" uniqueCount="98">
  <si>
    <t>India</t>
  </si>
  <si>
    <t>South Africa</t>
  </si>
  <si>
    <t>Match</t>
  </si>
  <si>
    <t>Total Points</t>
  </si>
  <si>
    <t>Player</t>
  </si>
  <si>
    <t>Team</t>
  </si>
  <si>
    <t>Run</t>
  </si>
  <si>
    <t>Point</t>
  </si>
  <si>
    <t>Total Runs</t>
  </si>
  <si>
    <t>Wicket</t>
  </si>
  <si>
    <t>Total Wickets</t>
  </si>
  <si>
    <t>1 Run</t>
  </si>
  <si>
    <t>50 Run</t>
  </si>
  <si>
    <t>100 Run</t>
  </si>
  <si>
    <t>150 Run</t>
  </si>
  <si>
    <t>200 Run</t>
  </si>
  <si>
    <t>Bonus</t>
  </si>
  <si>
    <t>Rules</t>
  </si>
  <si>
    <t>1 Wicket</t>
  </si>
  <si>
    <t>4 Wicket</t>
  </si>
  <si>
    <t>5 or more wicket</t>
  </si>
  <si>
    <t>Points</t>
  </si>
  <si>
    <t>3 Wicket</t>
  </si>
  <si>
    <t>Ct + Ro + St</t>
  </si>
  <si>
    <t>Total Ct + Ro + St</t>
  </si>
  <si>
    <t>1 Ct + Ro + St</t>
  </si>
  <si>
    <t>Date</t>
  </si>
  <si>
    <t>Player1</t>
  </si>
  <si>
    <t>Player2</t>
  </si>
  <si>
    <t>Player3</t>
  </si>
  <si>
    <t>Player4</t>
  </si>
  <si>
    <t>Player5</t>
  </si>
  <si>
    <t>Total</t>
  </si>
  <si>
    <t>Cost</t>
  </si>
  <si>
    <t>Enter Parameters to Process the Calculation</t>
  </si>
  <si>
    <t>Number of Teams</t>
  </si>
  <si>
    <t>From</t>
  </si>
  <si>
    <t>To</t>
  </si>
  <si>
    <t>1 Substitution</t>
  </si>
  <si>
    <t>Points Deduction</t>
  </si>
  <si>
    <t>Bt</t>
  </si>
  <si>
    <t>W</t>
  </si>
  <si>
    <t>Bw</t>
  </si>
  <si>
    <t>Type</t>
  </si>
  <si>
    <t>INDIA</t>
  </si>
  <si>
    <t>All</t>
  </si>
  <si>
    <t>Batsman (Bt)</t>
  </si>
  <si>
    <t>Wicketkeeper (W)</t>
  </si>
  <si>
    <t>Bowler (Bw)</t>
  </si>
  <si>
    <t>Allrounder (All)</t>
  </si>
  <si>
    <t>Team Configuration</t>
  </si>
  <si>
    <t>Minimum Required</t>
  </si>
  <si>
    <t>Faf du plessis</t>
  </si>
  <si>
    <t>Imran Tahir</t>
  </si>
  <si>
    <t>Colin Ingram</t>
  </si>
  <si>
    <t>Morne Van Wyk</t>
  </si>
  <si>
    <t>SOUTH AFRICA</t>
  </si>
  <si>
    <t>Sachin Tendulkar</t>
  </si>
  <si>
    <t>Virender Sehwag</t>
  </si>
  <si>
    <t>Gautam Gambhir</t>
  </si>
  <si>
    <t>Viraat Kohli</t>
  </si>
  <si>
    <t>Suresh Raina</t>
  </si>
  <si>
    <t>MS Dhoni</t>
  </si>
  <si>
    <t>Yousuf Pathan</t>
  </si>
  <si>
    <t>Munaf Patel</t>
  </si>
  <si>
    <t>Piyush Chawla</t>
  </si>
  <si>
    <t>Ashish Nehra</t>
  </si>
  <si>
    <t>Harbhajan Singh</t>
  </si>
  <si>
    <t>Zaheer Khan</t>
  </si>
  <si>
    <t>Praveen Kumar</t>
  </si>
  <si>
    <t>R Ashwin</t>
  </si>
  <si>
    <t>H Amla</t>
  </si>
  <si>
    <t>G Smith</t>
  </si>
  <si>
    <t>J Kallis</t>
  </si>
  <si>
    <t>AB De Villiers</t>
  </si>
  <si>
    <t>JP Duminy</t>
  </si>
  <si>
    <t>R Peterson</t>
  </si>
  <si>
    <t>T Tsotsobe</t>
  </si>
  <si>
    <t>J Botha</t>
  </si>
  <si>
    <t>Dale Steyn</t>
  </si>
  <si>
    <t>Morne Morkel</t>
  </si>
  <si>
    <t>T Parnell</t>
  </si>
  <si>
    <t>Yuvraj Singh</t>
  </si>
  <si>
    <t>Team1</t>
  </si>
  <si>
    <t>Team2</t>
  </si>
  <si>
    <t>Team3</t>
  </si>
  <si>
    <t>Team4</t>
  </si>
  <si>
    <t>Team5</t>
  </si>
  <si>
    <t>Team6</t>
  </si>
  <si>
    <t>Player6</t>
  </si>
  <si>
    <t>Player7</t>
  </si>
  <si>
    <t>Player8</t>
  </si>
  <si>
    <t>Player9</t>
  </si>
  <si>
    <t>Player10</t>
  </si>
  <si>
    <t>Player11</t>
  </si>
  <si>
    <t># Changes</t>
  </si>
  <si>
    <t>Final Score</t>
  </si>
  <si>
    <t xml:space="preserve"> Limit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</si>
</sst>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7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Protection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5" fontId="0" fillId="5" borderId="2" xfId="0" applyNumberFormat="1" applyFill="1" applyBorder="1" applyAlignment="1">
      <alignment horizontal="center"/>
    </xf>
    <xf numFmtId="0" fontId="0" fillId="6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15" fontId="0" fillId="5" borderId="2" xfId="0" applyNumberFormat="1" applyFill="1" applyBorder="1" applyAlignment="1">
      <alignment horizontal="center"/>
    </xf>
    <xf numFmtId="164" fontId="0" fillId="0" borderId="0" xfId="0" applyNumberFormat="1"/>
    <xf numFmtId="164" fontId="0" fillId="7" borderId="1" xfId="0" applyNumberFormat="1" applyFill="1" applyBorder="1"/>
    <xf numFmtId="0" fontId="0" fillId="7" borderId="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0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15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10" borderId="1" xfId="0" applyFill="1" applyBorder="1"/>
    <xf numFmtId="164" fontId="0" fillId="10" borderId="1" xfId="0" applyNumberFormat="1" applyFill="1" applyBorder="1"/>
    <xf numFmtId="0" fontId="0" fillId="0" borderId="1" xfId="0" applyBorder="1" applyAlignment="1">
      <alignment horizontal="right"/>
    </xf>
    <xf numFmtId="0" fontId="1" fillId="0" borderId="1" xfId="0" applyFont="1" applyBorder="1" applyAlignment="1">
      <alignment horizontal="right"/>
    </xf>
    <xf numFmtId="0" fontId="0" fillId="0" borderId="1" xfId="0" applyBorder="1" applyAlignment="1"/>
    <xf numFmtId="0" fontId="1" fillId="0" borderId="1" xfId="0" applyFont="1" applyBorder="1" applyAlignment="1"/>
    <xf numFmtId="0" fontId="0" fillId="0" borderId="1" xfId="0" quotePrefix="1" applyBorder="1" applyAlignment="1">
      <alignment horizontal="center"/>
    </xf>
    <xf numFmtId="0" fontId="0" fillId="2" borderId="21" xfId="0" applyFill="1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 applyAlignment="1">
      <alignment horizontal="center"/>
    </xf>
    <xf numFmtId="0" fontId="0" fillId="0" borderId="0" xfId="0" applyFill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4" fontId="0" fillId="0" borderId="0" xfId="0" applyNumberFormat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3" fillId="9" borderId="7" xfId="0" applyFont="1" applyFill="1" applyBorder="1" applyProtection="1"/>
    <xf numFmtId="0" fontId="0" fillId="3" borderId="9" xfId="0" applyFill="1" applyBorder="1" applyProtection="1"/>
    <xf numFmtId="0" fontId="0" fillId="3" borderId="12" xfId="0" applyFill="1" applyBorder="1" applyProtection="1"/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3" borderId="11" xfId="0" applyFill="1" applyBorder="1" applyProtection="1"/>
    <xf numFmtId="0" fontId="4" fillId="8" borderId="13" xfId="0" applyFont="1" applyFill="1" applyBorder="1" applyAlignment="1">
      <alignment horizontal="left"/>
    </xf>
    <xf numFmtId="0" fontId="4" fillId="8" borderId="14" xfId="0" applyFont="1" applyFill="1" applyBorder="1" applyAlignment="1">
      <alignment horizontal="left"/>
    </xf>
    <xf numFmtId="0" fontId="4" fillId="8" borderId="15" xfId="0" applyFont="1" applyFill="1" applyBorder="1" applyAlignment="1">
      <alignment horizontal="left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3" fillId="9" borderId="6" xfId="0" applyFont="1" applyFill="1" applyBorder="1" applyProtection="1">
      <protection locked="0"/>
    </xf>
    <xf numFmtId="0" fontId="0" fillId="0" borderId="8" xfId="0" applyBorder="1" applyAlignment="1"/>
    <xf numFmtId="0" fontId="0" fillId="11" borderId="8" xfId="0" applyFill="1" applyBorder="1"/>
    <xf numFmtId="0" fontId="0" fillId="0" borderId="8" xfId="0" applyFill="1" applyBorder="1" applyAlignment="1"/>
    <xf numFmtId="0" fontId="0" fillId="0" borderId="10" xfId="0" applyFill="1" applyBorder="1" applyAlignment="1"/>
    <xf numFmtId="0" fontId="0" fillId="12" borderId="8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Fill="1" applyProtection="1"/>
    <xf numFmtId="0" fontId="0" fillId="0" borderId="0" xfId="0" applyProtection="1"/>
    <xf numFmtId="0" fontId="0" fillId="0" borderId="0" xfId="0" applyFill="1" applyBorder="1" applyAlignment="1" applyProtection="1"/>
    <xf numFmtId="0" fontId="0" fillId="0" borderId="0" xfId="0" applyBorder="1" applyProtection="1"/>
    <xf numFmtId="0" fontId="5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8" xfId="0" applyBorder="1" applyProtection="1"/>
    <xf numFmtId="0" fontId="0" fillId="0" borderId="1" xfId="0" quotePrefix="1" applyBorder="1" applyAlignment="1" applyProtection="1">
      <alignment horizontal="center"/>
    </xf>
    <xf numFmtId="0" fontId="0" fillId="0" borderId="9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0" fillId="0" borderId="6" xfId="0" applyBorder="1" applyProtection="1"/>
    <xf numFmtId="0" fontId="3" fillId="9" borderId="6" xfId="0" applyFont="1" applyFill="1" applyBorder="1" applyProtection="1"/>
    <xf numFmtId="0" fontId="0" fillId="0" borderId="8" xfId="0" applyBorder="1" applyAlignment="1" applyProtection="1"/>
    <xf numFmtId="0" fontId="6" fillId="0" borderId="8" xfId="0" applyFont="1" applyBorder="1" applyAlignment="1" applyProtection="1">
      <alignment horizontal="center" vertical="center"/>
    </xf>
    <xf numFmtId="0" fontId="0" fillId="0" borderId="1" xfId="0" applyBorder="1" applyProtection="1"/>
    <xf numFmtId="0" fontId="0" fillId="11" borderId="8" xfId="0" applyFill="1" applyBorder="1" applyProtection="1"/>
    <xf numFmtId="0" fontId="0" fillId="0" borderId="8" xfId="0" applyFill="1" applyBorder="1" applyAlignment="1" applyProtection="1"/>
    <xf numFmtId="0" fontId="0" fillId="0" borderId="10" xfId="0" applyFill="1" applyBorder="1" applyAlignment="1" applyProtection="1"/>
    <xf numFmtId="0" fontId="6" fillId="0" borderId="10" xfId="0" applyFont="1" applyBorder="1" applyAlignment="1" applyProtection="1">
      <alignment horizontal="center" vertical="center"/>
    </xf>
    <xf numFmtId="0" fontId="0" fillId="0" borderId="11" xfId="0" applyBorder="1" applyProtection="1"/>
    <xf numFmtId="0" fontId="5" fillId="0" borderId="0" xfId="0" applyFont="1" applyFill="1" applyAlignment="1" applyProtection="1">
      <alignment horizontal="right"/>
    </xf>
    <xf numFmtId="0" fontId="5" fillId="0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0" fillId="0" borderId="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Fill="1" applyBorder="1" applyAlignment="1">
      <alignment horizontal="center" vertical="center" textRotation="90"/>
    </xf>
    <xf numFmtId="0" fontId="0" fillId="0" borderId="0" xfId="0" applyBorder="1" applyAlignment="1" applyProtection="1">
      <alignment horizontal="center" vertical="center" textRotation="90"/>
    </xf>
    <xf numFmtId="0" fontId="0" fillId="0" borderId="0" xfId="0" applyFill="1" applyBorder="1" applyAlignment="1" applyProtection="1">
      <alignment horizontal="center" vertical="center" textRotation="90"/>
    </xf>
    <xf numFmtId="0" fontId="0" fillId="2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12" borderId="25" xfId="0" applyFill="1" applyBorder="1" applyAlignment="1" applyProtection="1">
      <alignment horizontal="center"/>
    </xf>
    <xf numFmtId="0" fontId="0" fillId="12" borderId="26" xfId="0" applyFill="1" applyBorder="1" applyAlignment="1" applyProtection="1">
      <alignment horizontal="center"/>
    </xf>
    <xf numFmtId="0" fontId="0" fillId="12" borderId="27" xfId="0" applyFill="1" applyBorder="1" applyAlignment="1" applyProtection="1">
      <alignment horizontal="center"/>
    </xf>
    <xf numFmtId="0" fontId="0" fillId="11" borderId="2" xfId="0" applyFill="1" applyBorder="1" applyAlignment="1" applyProtection="1">
      <alignment horizontal="center"/>
    </xf>
    <xf numFmtId="0" fontId="0" fillId="11" borderId="27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2" fillId="4" borderId="4" xfId="0" applyFont="1" applyFill="1" applyBorder="1" applyAlignment="1">
      <alignment horizontal="center"/>
    </xf>
    <xf numFmtId="15" fontId="0" fillId="5" borderId="2" xfId="0" applyNumberFormat="1" applyFill="1" applyBorder="1" applyAlignment="1">
      <alignment horizontal="center"/>
    </xf>
    <xf numFmtId="15" fontId="0" fillId="5" borderId="3" xfId="0" applyNumberForma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3" xfId="0" applyBorder="1" applyAlignment="1">
      <alignment horizontal="center" vertical="center" textRotation="255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66"/>
      <color rgb="FF003300"/>
      <color rgb="FFFFFF99"/>
      <color rgb="FFFFFFCC"/>
      <color rgb="FF3333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304799</xdr:colOff>
      <xdr:row>3</xdr:row>
      <xdr:rowOff>95250</xdr:rowOff>
    </xdr:from>
    <xdr:to>
      <xdr:col>8</xdr:col>
      <xdr:colOff>333374</xdr:colOff>
      <xdr:row>5</xdr:row>
      <xdr:rowOff>142875</xdr:rowOff>
    </xdr:to>
    <xdr:sp macro="[0]!calculate" textlink="">
      <xdr:nvSpPr>
        <xdr:cNvPr id="3" name="Rounded Rectangle 2"/>
        <xdr:cNvSpPr/>
      </xdr:nvSpPr>
      <xdr:spPr>
        <a:xfrm>
          <a:off x="5857874" y="685800"/>
          <a:ext cx="94297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AJ14"/>
  <sheetViews>
    <sheetView tabSelected="1" workbookViewId="0">
      <selection activeCell="D18" sqref="D18"/>
    </sheetView>
  </sheetViews>
  <sheetFormatPr defaultColWidth="0" defaultRowHeight="15"/>
  <cols>
    <col min="1" max="1" width="3.7109375" customWidth="1"/>
    <col min="2" max="2" width="17.42578125" bestFit="1" customWidth="1"/>
    <col min="3" max="3" width="9.140625" customWidth="1"/>
    <col min="4" max="4" width="16.28515625" customWidth="1"/>
    <col min="5" max="5" width="4.85546875" customWidth="1"/>
    <col min="6" max="6" width="7.5703125" customWidth="1"/>
    <col min="7" max="7" width="2.7109375" customWidth="1"/>
    <col min="8" max="8" width="5.28515625" customWidth="1"/>
    <col min="9" max="9" width="16.140625" customWidth="1"/>
    <col min="10" max="10" width="4.85546875" customWidth="1"/>
    <col min="11" max="11" width="9.140625" customWidth="1"/>
    <col min="12" max="36" width="9.140625" hidden="1"/>
  </cols>
  <sheetData>
    <row r="1" spans="1:10">
      <c r="A1" s="47"/>
    </row>
    <row r="2" spans="1:10" ht="15.75" thickBot="1">
      <c r="E2" s="18"/>
      <c r="F2" s="16" t="str">
        <f>IF(ISERROR(IF(COUNTIF(H4:H14,"W")&lt;$C$9,ERROR.TYPE(10),(IF(COUNTIF(H4:H14,"Bt")&lt;$C$8,ERROR.TYPE(10),(IF(COUNTIF(H4:H14,"Bw")&lt;$C$10,ERROR.TYPE(10),(IF(COUNTIF(H4:H14,"All")&lt;$C$11,ERROR.TYPE(10),IF(J3&gt;$C$5,ERROR.TYPE(10),IF(COUNTIF(G4:G14,"&gt;&gt;")&gt;0,ERROR.TYPE(10),"")))))))))),"Error","")</f>
        <v>Error</v>
      </c>
      <c r="G2" s="16"/>
      <c r="H2" s="51"/>
      <c r="I2" s="51"/>
      <c r="J2" s="52"/>
    </row>
    <row r="3" spans="1:10" ht="15" customHeight="1">
      <c r="B3" s="107" t="s">
        <v>17</v>
      </c>
      <c r="C3" s="108"/>
      <c r="D3" s="109"/>
      <c r="E3" s="17"/>
      <c r="F3" s="110" t="str">
        <f>I3</f>
        <v>Team1</v>
      </c>
      <c r="G3" s="43"/>
      <c r="H3" s="44"/>
      <c r="I3" s="64" t="s">
        <v>83</v>
      </c>
      <c r="J3" s="53">
        <f>SUM(J4:J14)</f>
        <v>118</v>
      </c>
    </row>
    <row r="4" spans="1:10">
      <c r="B4" s="11" t="s">
        <v>38</v>
      </c>
      <c r="C4" s="40">
        <v>100</v>
      </c>
      <c r="D4" s="12" t="s">
        <v>39</v>
      </c>
      <c r="E4" s="18"/>
      <c r="F4" s="110"/>
      <c r="G4" s="56" t="str">
        <f>IF(MAX(COUNTIF(I$4:I$14,I4))&gt;1,"&gt;&gt;","")</f>
        <v/>
      </c>
      <c r="H4" s="4" t="str">
        <f t="shared" ref="H4:H14" si="0">IF(ISERROR(VLOOKUP(I4,Universal,3,FALSE)),"",VLOOKUP(I4,Universal,3,FALSE))</f>
        <v>Bt</v>
      </c>
      <c r="I4" s="62" t="s">
        <v>57</v>
      </c>
      <c r="J4" s="54">
        <f t="shared" ref="J4:J14" si="1">IF(ISERROR(VLOOKUP(I4,Universal,2,FALSE)),0,VLOOKUP(I4,Universal,2,FALSE))</f>
        <v>20</v>
      </c>
    </row>
    <row r="5" spans="1:10">
      <c r="B5" s="65" t="s">
        <v>33</v>
      </c>
      <c r="C5" s="74">
        <v>125</v>
      </c>
      <c r="D5" s="75" t="s">
        <v>97</v>
      </c>
      <c r="E5" s="18"/>
      <c r="F5" s="110"/>
      <c r="G5" s="56" t="str">
        <f t="shared" ref="G5:G14" si="2">IF(MAX(COUNTIF(I$4:I$14,I5))&gt;1,"&gt;&gt;","")</f>
        <v>&gt;&gt;</v>
      </c>
      <c r="H5" s="4" t="str">
        <f t="shared" si="0"/>
        <v>Bt</v>
      </c>
      <c r="I5" s="62" t="s">
        <v>60</v>
      </c>
      <c r="J5" s="54">
        <f t="shared" si="1"/>
        <v>8</v>
      </c>
    </row>
    <row r="6" spans="1:10">
      <c r="B6" s="69" t="s">
        <v>50</v>
      </c>
      <c r="C6" s="70"/>
      <c r="D6" s="71"/>
      <c r="E6" s="18"/>
      <c r="F6" s="110"/>
      <c r="G6" s="56" t="str">
        <f t="shared" si="2"/>
        <v/>
      </c>
      <c r="H6" s="4" t="str">
        <f t="shared" si="0"/>
        <v>Bt</v>
      </c>
      <c r="I6" s="62" t="s">
        <v>59</v>
      </c>
      <c r="J6" s="54">
        <f t="shared" si="1"/>
        <v>10</v>
      </c>
    </row>
    <row r="7" spans="1:10">
      <c r="B7" s="66" t="s">
        <v>43</v>
      </c>
      <c r="C7" s="72" t="s">
        <v>51</v>
      </c>
      <c r="D7" s="73"/>
      <c r="E7" s="18"/>
      <c r="F7" s="110"/>
      <c r="G7" s="56" t="str">
        <f t="shared" si="2"/>
        <v>&gt;&gt;</v>
      </c>
      <c r="H7" s="4" t="str">
        <f t="shared" si="0"/>
        <v>Bt</v>
      </c>
      <c r="I7" s="62" t="s">
        <v>60</v>
      </c>
      <c r="J7" s="54">
        <f t="shared" si="1"/>
        <v>8</v>
      </c>
    </row>
    <row r="8" spans="1:10">
      <c r="B8" s="65" t="s">
        <v>46</v>
      </c>
      <c r="C8" s="74">
        <v>4</v>
      </c>
      <c r="D8" s="75"/>
      <c r="E8" s="18"/>
      <c r="F8" s="110"/>
      <c r="G8" s="56" t="str">
        <f t="shared" si="2"/>
        <v>&gt;&gt;</v>
      </c>
      <c r="H8" s="4" t="str">
        <f t="shared" si="0"/>
        <v>W</v>
      </c>
      <c r="I8" s="62" t="s">
        <v>62</v>
      </c>
      <c r="J8" s="54">
        <f t="shared" si="1"/>
        <v>14</v>
      </c>
    </row>
    <row r="9" spans="1:10">
      <c r="B9" s="67" t="s">
        <v>47</v>
      </c>
      <c r="C9" s="74">
        <v>1</v>
      </c>
      <c r="D9" s="75"/>
      <c r="E9" s="18"/>
      <c r="F9" s="110"/>
      <c r="G9" s="56" t="str">
        <f t="shared" si="2"/>
        <v>&gt;&gt;</v>
      </c>
      <c r="H9" s="4" t="str">
        <f t="shared" si="0"/>
        <v>W</v>
      </c>
      <c r="I9" s="62" t="s">
        <v>62</v>
      </c>
      <c r="J9" s="54">
        <f t="shared" si="1"/>
        <v>14</v>
      </c>
    </row>
    <row r="10" spans="1:10">
      <c r="B10" s="67" t="s">
        <v>48</v>
      </c>
      <c r="C10" s="74">
        <v>3</v>
      </c>
      <c r="D10" s="75"/>
      <c r="E10" s="18"/>
      <c r="F10" s="110"/>
      <c r="G10" s="56" t="str">
        <f t="shared" si="2"/>
        <v/>
      </c>
      <c r="H10" s="4" t="str">
        <f t="shared" si="0"/>
        <v>Bt</v>
      </c>
      <c r="I10" s="62" t="s">
        <v>61</v>
      </c>
      <c r="J10" s="54">
        <f t="shared" si="1"/>
        <v>7</v>
      </c>
    </row>
    <row r="11" spans="1:10" ht="15.75" thickBot="1">
      <c r="B11" s="68" t="s">
        <v>49</v>
      </c>
      <c r="C11" s="76">
        <v>1</v>
      </c>
      <c r="D11" s="77"/>
      <c r="F11" s="110"/>
      <c r="G11" s="56" t="str">
        <f t="shared" si="2"/>
        <v/>
      </c>
      <c r="H11" s="4" t="str">
        <f t="shared" si="0"/>
        <v>All</v>
      </c>
      <c r="I11" s="62" t="s">
        <v>63</v>
      </c>
      <c r="J11" s="54">
        <f t="shared" si="1"/>
        <v>9</v>
      </c>
    </row>
    <row r="12" spans="1:10">
      <c r="F12" s="110"/>
      <c r="G12" s="56" t="str">
        <f t="shared" si="2"/>
        <v/>
      </c>
      <c r="H12" s="4" t="str">
        <f t="shared" si="0"/>
        <v>Bw</v>
      </c>
      <c r="I12" s="62" t="s">
        <v>67</v>
      </c>
      <c r="J12" s="54">
        <f t="shared" si="1"/>
        <v>12</v>
      </c>
    </row>
    <row r="13" spans="1:10">
      <c r="F13" s="110"/>
      <c r="G13" s="56" t="str">
        <f t="shared" si="2"/>
        <v/>
      </c>
      <c r="H13" s="4" t="str">
        <f t="shared" si="0"/>
        <v>Bw</v>
      </c>
      <c r="I13" s="62" t="s">
        <v>68</v>
      </c>
      <c r="J13" s="54">
        <f t="shared" si="1"/>
        <v>10</v>
      </c>
    </row>
    <row r="14" spans="1:10" ht="15.75" thickBot="1">
      <c r="F14" s="110"/>
      <c r="G14" s="57" t="str">
        <f t="shared" si="2"/>
        <v/>
      </c>
      <c r="H14" s="58" t="str">
        <f t="shared" si="0"/>
        <v>Bw</v>
      </c>
      <c r="I14" s="63" t="s">
        <v>69</v>
      </c>
      <c r="J14" s="55">
        <f t="shared" si="1"/>
        <v>6</v>
      </c>
    </row>
  </sheetData>
  <mergeCells count="2">
    <mergeCell ref="B3:D3"/>
    <mergeCell ref="F3:F14"/>
  </mergeCells>
  <conditionalFormatting sqref="F2:G2">
    <cfRule type="containsText" dxfId="5" priority="3" operator="containsText" text="Error">
      <formula>NOT(ISERROR(SEARCH("Error",F2)))</formula>
    </cfRule>
  </conditionalFormatting>
  <conditionalFormatting sqref="G4:G14">
    <cfRule type="containsText" dxfId="4" priority="2" operator="containsText" text="*">
      <formula>NOT(ISERROR(SEARCH("*",G4)))</formula>
    </cfRule>
  </conditionalFormatting>
  <conditionalFormatting sqref="J3">
    <cfRule type="cellIs" dxfId="3" priority="6" operator="greaterThan">
      <formula>$C$5</formula>
    </cfRule>
  </conditionalFormatting>
  <dataValidations count="1">
    <dataValidation type="list" allowBlank="1" showInputMessage="1" showErrorMessage="1" sqref="I4:I14">
      <formula1>Player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D1:I7"/>
  <sheetViews>
    <sheetView workbookViewId="0">
      <selection activeCell="H20" sqref="H20"/>
    </sheetView>
  </sheetViews>
  <sheetFormatPr defaultRowHeight="15"/>
  <cols>
    <col min="1" max="1" width="4.85546875" customWidth="1"/>
    <col min="2" max="2" width="6.42578125" customWidth="1"/>
    <col min="3" max="3" width="14.7109375" customWidth="1"/>
    <col min="4" max="4" width="5.85546875" customWidth="1"/>
    <col min="5" max="5" width="16.85546875" bestFit="1" customWidth="1"/>
    <col min="6" max="6" width="15.7109375" customWidth="1"/>
    <col min="7" max="7" width="4.5703125" customWidth="1"/>
    <col min="9" max="9" width="7.7109375" customWidth="1"/>
  </cols>
  <sheetData>
    <row r="1" spans="4:9" ht="15.75" thickBot="1"/>
    <row r="2" spans="4:9" ht="15.75" thickBot="1">
      <c r="D2" s="59" t="s">
        <v>34</v>
      </c>
      <c r="E2" s="60"/>
      <c r="F2" s="60"/>
      <c r="G2" s="60"/>
      <c r="H2" s="60"/>
      <c r="I2" s="61"/>
    </row>
    <row r="3" spans="4:9">
      <c r="D3" s="23"/>
      <c r="E3" s="24"/>
      <c r="F3" s="24"/>
      <c r="G3" s="24"/>
      <c r="H3" s="24"/>
      <c r="I3" s="25"/>
    </row>
    <row r="4" spans="4:9">
      <c r="D4" s="26"/>
      <c r="E4" s="27" t="s">
        <v>26</v>
      </c>
      <c r="F4" s="35">
        <v>40562</v>
      </c>
      <c r="G4" s="27"/>
      <c r="H4" s="27"/>
      <c r="I4" s="28"/>
    </row>
    <row r="5" spans="4:9">
      <c r="D5" s="26"/>
      <c r="E5" s="27"/>
      <c r="F5" s="27"/>
      <c r="G5" s="27"/>
      <c r="H5" s="27"/>
      <c r="I5" s="28"/>
    </row>
    <row r="6" spans="4:9">
      <c r="D6" s="26"/>
      <c r="E6" s="27" t="s">
        <v>35</v>
      </c>
      <c r="F6" s="34">
        <v>6</v>
      </c>
      <c r="G6" s="27"/>
      <c r="H6" s="27"/>
      <c r="I6" s="28"/>
    </row>
    <row r="7" spans="4:9" ht="15.75" thickBot="1">
      <c r="D7" s="29"/>
      <c r="E7" s="30"/>
      <c r="F7" s="30"/>
      <c r="G7" s="30"/>
      <c r="H7" s="30"/>
      <c r="I7" s="3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BR20"/>
  <sheetViews>
    <sheetView workbookViewId="0">
      <pane xSplit="5" topLeftCell="F1" activePane="topRight" state="frozen"/>
      <selection pane="topRight" activeCell="N19" sqref="N19"/>
    </sheetView>
  </sheetViews>
  <sheetFormatPr defaultRowHeight="15" outlineLevelCol="1"/>
  <cols>
    <col min="1" max="1" width="3.7109375" customWidth="1"/>
    <col min="2" max="2" width="18.7109375" bestFit="1" customWidth="1"/>
    <col min="4" max="4" width="16.28515625" customWidth="1"/>
    <col min="5" max="5" width="4.85546875" customWidth="1"/>
    <col min="6" max="6" width="7.5703125" customWidth="1"/>
    <col min="7" max="7" width="2.7109375" customWidth="1" outlineLevel="1"/>
    <col min="8" max="8" width="5.28515625" customWidth="1" outlineLevel="1"/>
    <col min="9" max="9" width="16.140625" customWidth="1" outlineLevel="1"/>
    <col min="10" max="10" width="4.85546875" customWidth="1" outlineLevel="1"/>
    <col min="11" max="11" width="7.42578125" customWidth="1"/>
    <col min="12" max="12" width="2.7109375" customWidth="1" outlineLevel="1"/>
    <col min="13" max="13" width="5.28515625" customWidth="1" outlineLevel="1"/>
    <col min="14" max="14" width="15.42578125" customWidth="1" outlineLevel="1"/>
    <col min="15" max="15" width="4.85546875" customWidth="1" outlineLevel="1"/>
    <col min="16" max="16" width="7.42578125" customWidth="1"/>
    <col min="17" max="17" width="2.7109375" customWidth="1" outlineLevel="1"/>
    <col min="18" max="18" width="5.42578125" customWidth="1" outlineLevel="1"/>
    <col min="19" max="19" width="15.42578125" customWidth="1" outlineLevel="1"/>
    <col min="20" max="20" width="4.85546875" customWidth="1" outlineLevel="1"/>
    <col min="21" max="21" width="7.28515625" customWidth="1"/>
    <col min="22" max="22" width="2.7109375" customWidth="1" outlineLevel="1"/>
    <col min="23" max="23" width="5.28515625" customWidth="1" outlineLevel="1"/>
    <col min="24" max="24" width="15.42578125" customWidth="1" outlineLevel="1"/>
    <col min="25" max="25" width="4.85546875" customWidth="1" outlineLevel="1"/>
    <col min="26" max="26" width="7.42578125" customWidth="1"/>
    <col min="27" max="27" width="2.7109375" customWidth="1" outlineLevel="1"/>
    <col min="28" max="28" width="5.42578125" customWidth="1" outlineLevel="1"/>
    <col min="29" max="29" width="15.42578125" customWidth="1" outlineLevel="1"/>
    <col min="30" max="30" width="5.28515625" customWidth="1" outlineLevel="1"/>
    <col min="31" max="31" width="7.7109375" customWidth="1"/>
    <col min="32" max="32" width="2.7109375" customWidth="1" outlineLevel="1"/>
    <col min="33" max="33" width="5.140625" customWidth="1" outlineLevel="1"/>
    <col min="34" max="34" width="15.42578125" customWidth="1" outlineLevel="1"/>
    <col min="35" max="35" width="4.85546875" customWidth="1" outlineLevel="1"/>
    <col min="36" max="36" width="4" customWidth="1"/>
  </cols>
  <sheetData>
    <row r="1" spans="1:70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</row>
    <row r="2" spans="1:70" ht="15.75" thickBot="1">
      <c r="A2" s="79"/>
      <c r="E2" s="80"/>
      <c r="F2" s="81" t="str">
        <f>IF(ISERROR(IF(COUNTIF(H4:H14,"W")&lt;$C$9,ERROR.TYPE(10),(IF(COUNTIF(H4:H14,"Bt")&lt;$C$8,ERROR.TYPE(10),(IF(COUNTIF(H4:H14,"Bw")&lt;$C$10,ERROR.TYPE(10),(IF(COUNTIF(H4:H14,"All")&lt;$C$11,ERROR.TYPE(10),IF(J3&gt;$C$5,ERROR.TYPE(10),IF(COUNTIF(G4:G14,"&gt;&gt;")&gt;0,ERROR.TYPE(10),"")))))))))),"Error","")</f>
        <v/>
      </c>
      <c r="G2" s="81"/>
      <c r="H2" s="82"/>
      <c r="I2" s="82"/>
      <c r="J2" s="83"/>
      <c r="K2" s="81" t="str">
        <f>IF(ISERROR(IF(COUNTIF(M4:M14,"W")&lt;$C$9,ERROR.TYPE(10),(IF(COUNTIF(M4:M14,"Bt")&lt;$C$8,ERROR.TYPE(10),(IF(COUNTIF(M4:M14,"Bw")&lt;$C$10,ERROR.TYPE(10),(IF(COUNTIF(M4:M14,"All")&lt;$C$11,ERROR.TYPE(10),IF(O3&gt;$C$5,ERROR.TYPE(10),IF(COUNTIF(L4:L14,"&gt;&gt;")&gt;0,ERROR.TYPE(10),"")))))))))),"Error","")</f>
        <v/>
      </c>
      <c r="L2" s="81"/>
      <c r="M2" s="82"/>
      <c r="N2" s="82"/>
      <c r="O2" s="83"/>
      <c r="P2" s="81" t="str">
        <f>IF(ISERROR(IF(COUNTIF(R4:R14,"W")&lt;$C$9,ERROR.TYPE(10),(IF(COUNTIF(R4:R14,"Bt")&lt;$C$8,ERROR.TYPE(10),(IF(COUNTIF(R4:R14,"Bw")&lt;$C$10,ERROR.TYPE(10),(IF(COUNTIF(R4:R14,"All")&lt;$C$11,ERROR.TYPE(10),IF(T3&gt;$C$5,ERROR.TYPE(10),IF(COUNTIF(Q4:Q14,"&gt;&gt;")&gt;0,ERROR.TYPE(10),"")))))))))),"Error","")</f>
        <v/>
      </c>
      <c r="Q2" s="81"/>
      <c r="R2" s="82"/>
      <c r="S2" s="82"/>
      <c r="T2" s="83"/>
      <c r="U2" s="81" t="str">
        <f>IF(ISERROR(IF(COUNTIF(W4:W14,"W")&lt;$C$9,ERROR.TYPE(10),(IF(COUNTIF(W4:W14,"Bt")&lt;$C$8,ERROR.TYPE(10),(IF(COUNTIF(W4:W14,"Bw")&lt;$C$10,ERROR.TYPE(10),(IF(COUNTIF(W4:W14,"All")&lt;$C$11,ERROR.TYPE(10),IF(Y3&gt;$C$5,ERROR.TYPE(10),IF(COUNTIF(V4:V14,"&gt;&gt;")&gt;0,ERROR.TYPE(10),"")))))))))),"Error","")</f>
        <v/>
      </c>
      <c r="V2" s="81"/>
      <c r="W2" s="82"/>
      <c r="X2" s="82"/>
      <c r="Y2" s="83"/>
      <c r="Z2" s="81" t="str">
        <f>IF(ISERROR(IF(COUNTIF(AB4:AB14,"W")&lt;$C$9,ERROR.TYPE(10),(IF(COUNTIF(AB4:AB14,"Bt")&lt;$C$8,ERROR.TYPE(10),(IF(COUNTIF(AB4:AB14,"Bw")&lt;$C$10,ERROR.TYPE(10),(IF(COUNTIF(AB4:AB14,"All")&lt;$C$11,ERROR.TYPE(10),IF(AD3&gt;$C$5,ERROR.TYPE(10),IF(COUNTIF(AA4:AA14,"&gt;&gt;")&gt;0,ERROR.TYPE(10),"")))))))))),"Error","")</f>
        <v/>
      </c>
      <c r="AA2" s="81"/>
      <c r="AB2" s="82"/>
      <c r="AC2" s="82"/>
      <c r="AD2" s="83"/>
      <c r="AE2" s="81" t="str">
        <f>IF(ISERROR(IF(COUNTIF(AG4:AG14,"W")&lt;$C$9,ERROR.TYPE(10),(IF(COUNTIF(AG4:AG14,"Bt")&lt;$C$8,ERROR.TYPE(10),(IF(COUNTIF(AG4:AG14,"Bw")&lt;$C$10,ERROR.TYPE(10),(IF(COUNTIF(AG4:AG14,"All")&lt;$C$11,ERROR.TYPE(10),IF(AI3&gt;$C$5,ERROR.TYPE(10),IF(COUNTIF(AF4:AF14,"&gt;&gt;")&gt;0,ERROR.TYPE(10),"")))))))))),"Error","")</f>
        <v/>
      </c>
      <c r="AF2" s="81"/>
      <c r="AG2" s="84"/>
      <c r="AH2" s="84"/>
      <c r="AI2" s="85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</row>
    <row r="3" spans="1:70" ht="15" customHeight="1">
      <c r="A3" s="79"/>
      <c r="B3" s="113" t="s">
        <v>17</v>
      </c>
      <c r="C3" s="114"/>
      <c r="D3" s="115"/>
      <c r="E3" s="89"/>
      <c r="F3" s="112" t="str">
        <f>I3</f>
        <v>Team1</v>
      </c>
      <c r="G3" s="90"/>
      <c r="H3" s="91"/>
      <c r="I3" s="92" t="s">
        <v>83</v>
      </c>
      <c r="J3" s="53">
        <f>SUM(J4:J14)</f>
        <v>123</v>
      </c>
      <c r="K3" s="112" t="str">
        <f>N3</f>
        <v>Team2</v>
      </c>
      <c r="L3" s="90"/>
      <c r="M3" s="91"/>
      <c r="N3" s="92" t="s">
        <v>84</v>
      </c>
      <c r="O3" s="53">
        <f>SUM(O4:O14)</f>
        <v>100</v>
      </c>
      <c r="P3" s="112" t="str">
        <f>S3</f>
        <v>Team3</v>
      </c>
      <c r="Q3" s="90"/>
      <c r="R3" s="91"/>
      <c r="S3" s="92" t="s">
        <v>85</v>
      </c>
      <c r="T3" s="53">
        <f>SUM(T4:T14)</f>
        <v>113</v>
      </c>
      <c r="U3" s="112" t="str">
        <f>X3</f>
        <v>Team4</v>
      </c>
      <c r="V3" s="90"/>
      <c r="W3" s="91"/>
      <c r="X3" s="92" t="s">
        <v>86</v>
      </c>
      <c r="Y3" s="53">
        <f>SUM(Y4:Y14)</f>
        <v>102</v>
      </c>
      <c r="Z3" s="112" t="str">
        <f>AC3</f>
        <v>Team5</v>
      </c>
      <c r="AA3" s="90"/>
      <c r="AB3" s="91"/>
      <c r="AC3" s="92" t="s">
        <v>87</v>
      </c>
      <c r="AD3" s="53">
        <f>SUM(AD4:AD14)</f>
        <v>107</v>
      </c>
      <c r="AE3" s="111" t="str">
        <f>AH3</f>
        <v>Team6</v>
      </c>
      <c r="AF3" s="90"/>
      <c r="AG3" s="91"/>
      <c r="AH3" s="92" t="s">
        <v>88</v>
      </c>
      <c r="AI3" s="53">
        <f>SUM(AI4:AI14)</f>
        <v>105</v>
      </c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</row>
    <row r="4" spans="1:70">
      <c r="A4" s="79"/>
      <c r="B4" s="86" t="s">
        <v>38</v>
      </c>
      <c r="C4" s="87">
        <v>100</v>
      </c>
      <c r="D4" s="88" t="s">
        <v>39</v>
      </c>
      <c r="E4" s="80"/>
      <c r="F4" s="112"/>
      <c r="G4" s="94" t="str">
        <f>IF(MAX(COUNTIF(I$4:I$14,I4))&gt;1,"&gt;&gt;","")</f>
        <v/>
      </c>
      <c r="H4" s="4" t="str">
        <f t="shared" ref="H4:H14" si="0">IF(ISERROR(VLOOKUP(I4,Universal,3,FALSE)),"",VLOOKUP(I4,Universal,3,FALSE))</f>
        <v>Bt</v>
      </c>
      <c r="I4" s="95" t="s">
        <v>57</v>
      </c>
      <c r="J4" s="54">
        <f t="shared" ref="J4:J14" si="1">IF(ISERROR(VLOOKUP(I4,Universal,2,FALSE)),0,VLOOKUP(I4,Universal,2,FALSE))</f>
        <v>20</v>
      </c>
      <c r="K4" s="112"/>
      <c r="L4" s="94" t="str">
        <f>IF(MAX(COUNTIF(N$4:N$14,N4))&gt;1,"&gt;&gt;","")</f>
        <v/>
      </c>
      <c r="M4" s="4" t="str">
        <f t="shared" ref="M4:M14" si="2">IF(ISERROR(VLOOKUP(N4,Universal,3,FALSE)),"",VLOOKUP(N4,Universal,3,FALSE))</f>
        <v>Bw</v>
      </c>
      <c r="N4" s="95" t="s">
        <v>68</v>
      </c>
      <c r="O4" s="54">
        <f t="shared" ref="O4:O14" si="3">IF(ISERROR(VLOOKUP(N4,Universal,2,FALSE)),0,VLOOKUP(N4,Universal,2,FALSE))</f>
        <v>10</v>
      </c>
      <c r="P4" s="112"/>
      <c r="Q4" s="94" t="str">
        <f>IF(MAX(COUNTIF(S$4:S$14,S4))&gt;1,"&gt;&gt;","")</f>
        <v/>
      </c>
      <c r="R4" s="4" t="str">
        <f t="shared" ref="R4:R14" si="4">IF(ISERROR(VLOOKUP(S4,Universal,3,FALSE)),"",VLOOKUP(S4,Universal,3,FALSE))</f>
        <v>Bw</v>
      </c>
      <c r="S4" s="95" t="s">
        <v>79</v>
      </c>
      <c r="T4" s="54">
        <f t="shared" ref="T4:T14" si="5">IF(ISERROR(VLOOKUP(S4,Universal,2,FALSE)),0,VLOOKUP(S4,Universal,2,FALSE))</f>
        <v>18</v>
      </c>
      <c r="U4" s="112"/>
      <c r="V4" s="94" t="str">
        <f>IF(MAX(COUNTIF(X$4:X$14,X4))&gt;1,"&gt;&gt;","")</f>
        <v/>
      </c>
      <c r="W4" s="4" t="str">
        <f t="shared" ref="W4:W14" si="6">IF(ISERROR(VLOOKUP(X4,Universal,3,FALSE)),"",VLOOKUP(X4,Universal,3,FALSE))</f>
        <v>Bw</v>
      </c>
      <c r="X4" s="95" t="s">
        <v>68</v>
      </c>
      <c r="Y4" s="54">
        <f t="shared" ref="Y4:Y14" si="7">IF(ISERROR(VLOOKUP(X4,Universal,2,FALSE)),0,VLOOKUP(X4,Universal,2,FALSE))</f>
        <v>10</v>
      </c>
      <c r="Z4" s="112"/>
      <c r="AA4" s="94" t="str">
        <f>IF(MAX(COUNTIF(AC$4:AC$14,AC4))&gt;1,"&gt;&gt;","")</f>
        <v/>
      </c>
      <c r="AB4" s="4" t="str">
        <f t="shared" ref="AB4:AB14" si="8">IF(ISERROR(VLOOKUP(AC4,Universal,3,FALSE)),"",VLOOKUP(AC4,Universal,3,FALSE))</f>
        <v>Bt</v>
      </c>
      <c r="AC4" s="95" t="s">
        <v>75</v>
      </c>
      <c r="AD4" s="54">
        <f t="shared" ref="AD4:AD14" si="9">IF(ISERROR(VLOOKUP(AC4,Universal,2,FALSE)),0,VLOOKUP(AC4,Universal,2,FALSE))</f>
        <v>12</v>
      </c>
      <c r="AE4" s="111"/>
      <c r="AF4" s="94" t="str">
        <f>IF(MAX(COUNTIF(AH$4:AH$14,AH4))&gt;1,"&gt;&gt;","")</f>
        <v/>
      </c>
      <c r="AG4" s="4" t="str">
        <f t="shared" ref="AG4:AG14" si="10">IF(ISERROR(VLOOKUP(AH4,Universal,3,FALSE)),"",VLOOKUP(AH4,Universal,3,FALSE))</f>
        <v>Bw</v>
      </c>
      <c r="AH4" s="95" t="s">
        <v>78</v>
      </c>
      <c r="AI4" s="54">
        <f t="shared" ref="AI4:AI14" si="11">IF(ISERROR(VLOOKUP(AH4,Universal,2,FALSE)),0,VLOOKUP(AH4,Universal,2,FALSE))</f>
        <v>8</v>
      </c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</row>
    <row r="5" spans="1:70">
      <c r="A5" s="79"/>
      <c r="B5" s="93" t="s">
        <v>33</v>
      </c>
      <c r="C5" s="105">
        <v>125</v>
      </c>
      <c r="D5" s="106" t="s">
        <v>97</v>
      </c>
      <c r="E5" s="80"/>
      <c r="F5" s="112"/>
      <c r="G5" s="94" t="str">
        <f t="shared" ref="G5:G14" si="12">IF(MAX(COUNTIF(I$4:I$14,I5))&gt;1,"&gt;&gt;","")</f>
        <v/>
      </c>
      <c r="H5" s="4" t="str">
        <f t="shared" si="0"/>
        <v>Bt</v>
      </c>
      <c r="I5" s="95" t="s">
        <v>58</v>
      </c>
      <c r="J5" s="54">
        <f t="shared" si="1"/>
        <v>18</v>
      </c>
      <c r="K5" s="112"/>
      <c r="L5" s="94" t="str">
        <f t="shared" ref="L5:L14" si="13">IF(MAX(COUNTIF(N$4:N$14,N5))&gt;1,"&gt;&gt;","")</f>
        <v/>
      </c>
      <c r="M5" s="4" t="str">
        <f t="shared" si="2"/>
        <v>Bt</v>
      </c>
      <c r="N5" s="95" t="s">
        <v>82</v>
      </c>
      <c r="O5" s="54">
        <f t="shared" si="3"/>
        <v>9</v>
      </c>
      <c r="P5" s="112"/>
      <c r="Q5" s="94" t="str">
        <f t="shared" ref="Q5:Q14" si="14">IF(MAX(COUNTIF(S$4:S$14,S5))&gt;1,"&gt;&gt;","")</f>
        <v/>
      </c>
      <c r="R5" s="4" t="str">
        <f t="shared" si="4"/>
        <v>Bt</v>
      </c>
      <c r="S5" s="95" t="s">
        <v>59</v>
      </c>
      <c r="T5" s="54">
        <f t="shared" si="5"/>
        <v>10</v>
      </c>
      <c r="U5" s="112"/>
      <c r="V5" s="94" t="str">
        <f t="shared" ref="V5:V14" si="15">IF(MAX(COUNTIF(X$4:X$14,X5))&gt;1,"&gt;&gt;","")</f>
        <v/>
      </c>
      <c r="W5" s="4" t="str">
        <f t="shared" si="6"/>
        <v>W</v>
      </c>
      <c r="X5" s="95" t="s">
        <v>62</v>
      </c>
      <c r="Y5" s="54">
        <f t="shared" si="7"/>
        <v>14</v>
      </c>
      <c r="Z5" s="112"/>
      <c r="AA5" s="94" t="str">
        <f t="shared" ref="AA5:AA14" si="16">IF(MAX(COUNTIF(AC$4:AC$14,AC5))&gt;1,"&gt;&gt;","")</f>
        <v/>
      </c>
      <c r="AB5" s="4" t="str">
        <f t="shared" si="8"/>
        <v>Bw</v>
      </c>
      <c r="AC5" s="95" t="s">
        <v>64</v>
      </c>
      <c r="AD5" s="54">
        <f t="shared" si="9"/>
        <v>5</v>
      </c>
      <c r="AE5" s="111"/>
      <c r="AF5" s="94" t="str">
        <f t="shared" ref="AF5:AF14" si="17">IF(MAX(COUNTIF(AH$4:AH$14,AH5))&gt;1,"&gt;&gt;","")</f>
        <v/>
      </c>
      <c r="AG5" s="4" t="str">
        <f t="shared" si="10"/>
        <v>All</v>
      </c>
      <c r="AH5" s="95" t="s">
        <v>63</v>
      </c>
      <c r="AI5" s="54">
        <f t="shared" si="11"/>
        <v>9</v>
      </c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</row>
    <row r="6" spans="1:70">
      <c r="A6" s="79"/>
      <c r="B6" s="116" t="s">
        <v>50</v>
      </c>
      <c r="C6" s="117"/>
      <c r="D6" s="118"/>
      <c r="E6" s="80"/>
      <c r="F6" s="112"/>
      <c r="G6" s="94" t="str">
        <f t="shared" si="12"/>
        <v/>
      </c>
      <c r="H6" s="4" t="str">
        <f t="shared" si="0"/>
        <v>Bt</v>
      </c>
      <c r="I6" s="95" t="s">
        <v>59</v>
      </c>
      <c r="J6" s="54">
        <f t="shared" si="1"/>
        <v>10</v>
      </c>
      <c r="K6" s="112"/>
      <c r="L6" s="94" t="str">
        <f t="shared" si="13"/>
        <v/>
      </c>
      <c r="M6" s="4" t="str">
        <f t="shared" si="2"/>
        <v>All</v>
      </c>
      <c r="N6" s="95" t="s">
        <v>63</v>
      </c>
      <c r="O6" s="54">
        <f t="shared" si="3"/>
        <v>9</v>
      </c>
      <c r="P6" s="112"/>
      <c r="Q6" s="94" t="str">
        <f t="shared" si="14"/>
        <v/>
      </c>
      <c r="R6" s="4" t="str">
        <f t="shared" si="4"/>
        <v>Bt</v>
      </c>
      <c r="S6" s="95" t="s">
        <v>61</v>
      </c>
      <c r="T6" s="54">
        <f t="shared" si="5"/>
        <v>7</v>
      </c>
      <c r="U6" s="112"/>
      <c r="V6" s="94" t="str">
        <f t="shared" si="15"/>
        <v/>
      </c>
      <c r="W6" s="4" t="str">
        <f t="shared" si="6"/>
        <v>Bw</v>
      </c>
      <c r="X6" s="95" t="s">
        <v>66</v>
      </c>
      <c r="Y6" s="54">
        <f t="shared" si="7"/>
        <v>6</v>
      </c>
      <c r="Z6" s="112"/>
      <c r="AA6" s="94" t="str">
        <f t="shared" si="16"/>
        <v/>
      </c>
      <c r="AB6" s="4" t="str">
        <f t="shared" si="8"/>
        <v>All</v>
      </c>
      <c r="AC6" s="95" t="s">
        <v>63</v>
      </c>
      <c r="AD6" s="54">
        <f t="shared" si="9"/>
        <v>9</v>
      </c>
      <c r="AE6" s="111"/>
      <c r="AF6" s="94" t="str">
        <f t="shared" si="17"/>
        <v/>
      </c>
      <c r="AG6" s="4" t="str">
        <f t="shared" si="10"/>
        <v>Bt</v>
      </c>
      <c r="AH6" s="95" t="s">
        <v>58</v>
      </c>
      <c r="AI6" s="54">
        <f t="shared" si="11"/>
        <v>18</v>
      </c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</row>
    <row r="7" spans="1:70">
      <c r="A7" s="79"/>
      <c r="B7" s="96" t="s">
        <v>43</v>
      </c>
      <c r="C7" s="119" t="s">
        <v>51</v>
      </c>
      <c r="D7" s="120"/>
      <c r="E7" s="80"/>
      <c r="F7" s="112"/>
      <c r="G7" s="94" t="str">
        <f t="shared" si="12"/>
        <v/>
      </c>
      <c r="H7" s="4" t="str">
        <f t="shared" si="0"/>
        <v>Bt</v>
      </c>
      <c r="I7" s="95" t="s">
        <v>60</v>
      </c>
      <c r="J7" s="54">
        <f t="shared" si="1"/>
        <v>8</v>
      </c>
      <c r="K7" s="112"/>
      <c r="L7" s="94" t="str">
        <f t="shared" si="13"/>
        <v/>
      </c>
      <c r="M7" s="4" t="str">
        <f t="shared" si="2"/>
        <v>Bw</v>
      </c>
      <c r="N7" s="95" t="s">
        <v>69</v>
      </c>
      <c r="O7" s="54">
        <f t="shared" si="3"/>
        <v>6</v>
      </c>
      <c r="P7" s="112"/>
      <c r="Q7" s="94" t="str">
        <f t="shared" si="14"/>
        <v/>
      </c>
      <c r="R7" s="4" t="str">
        <f t="shared" si="4"/>
        <v>Bw</v>
      </c>
      <c r="S7" s="95" t="s">
        <v>67</v>
      </c>
      <c r="T7" s="54">
        <f t="shared" si="5"/>
        <v>12</v>
      </c>
      <c r="U7" s="112"/>
      <c r="V7" s="94" t="str">
        <f t="shared" si="15"/>
        <v/>
      </c>
      <c r="W7" s="4" t="str">
        <f t="shared" si="6"/>
        <v>Bt</v>
      </c>
      <c r="X7" s="95" t="s">
        <v>72</v>
      </c>
      <c r="Y7" s="54">
        <f t="shared" si="7"/>
        <v>14</v>
      </c>
      <c r="Z7" s="112"/>
      <c r="AA7" s="94" t="str">
        <f t="shared" si="16"/>
        <v/>
      </c>
      <c r="AB7" s="4" t="str">
        <f t="shared" si="8"/>
        <v>Bw</v>
      </c>
      <c r="AC7" s="95" t="s">
        <v>79</v>
      </c>
      <c r="AD7" s="54">
        <f t="shared" si="9"/>
        <v>18</v>
      </c>
      <c r="AE7" s="111"/>
      <c r="AF7" s="94" t="str">
        <f t="shared" si="17"/>
        <v/>
      </c>
      <c r="AG7" s="4" t="str">
        <f t="shared" si="10"/>
        <v>Bw</v>
      </c>
      <c r="AH7" s="95" t="s">
        <v>68</v>
      </c>
      <c r="AI7" s="54">
        <f t="shared" si="11"/>
        <v>10</v>
      </c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</row>
    <row r="8" spans="1:70">
      <c r="A8" s="79"/>
      <c r="B8" s="93" t="s">
        <v>46</v>
      </c>
      <c r="C8" s="121">
        <v>4</v>
      </c>
      <c r="D8" s="122"/>
      <c r="E8" s="80"/>
      <c r="F8" s="112"/>
      <c r="G8" s="94" t="str">
        <f t="shared" si="12"/>
        <v/>
      </c>
      <c r="H8" s="4" t="str">
        <f t="shared" si="0"/>
        <v>Bt</v>
      </c>
      <c r="I8" s="95" t="s">
        <v>82</v>
      </c>
      <c r="J8" s="54">
        <f t="shared" si="1"/>
        <v>9</v>
      </c>
      <c r="K8" s="112"/>
      <c r="L8" s="94" t="str">
        <f t="shared" si="13"/>
        <v/>
      </c>
      <c r="M8" s="4" t="str">
        <f t="shared" si="2"/>
        <v>W</v>
      </c>
      <c r="N8" s="95" t="s">
        <v>55</v>
      </c>
      <c r="O8" s="54">
        <f t="shared" si="3"/>
        <v>10</v>
      </c>
      <c r="P8" s="112"/>
      <c r="Q8" s="94" t="str">
        <f t="shared" si="14"/>
        <v/>
      </c>
      <c r="R8" s="4" t="str">
        <f t="shared" si="4"/>
        <v>W</v>
      </c>
      <c r="S8" s="95" t="s">
        <v>62</v>
      </c>
      <c r="T8" s="54">
        <f t="shared" si="5"/>
        <v>14</v>
      </c>
      <c r="U8" s="112"/>
      <c r="V8" s="94" t="str">
        <f t="shared" si="15"/>
        <v/>
      </c>
      <c r="W8" s="4" t="str">
        <f t="shared" si="6"/>
        <v>W</v>
      </c>
      <c r="X8" s="95" t="s">
        <v>55</v>
      </c>
      <c r="Y8" s="54">
        <f t="shared" si="7"/>
        <v>10</v>
      </c>
      <c r="Z8" s="112"/>
      <c r="AA8" s="94" t="str">
        <f t="shared" si="16"/>
        <v/>
      </c>
      <c r="AB8" s="4" t="str">
        <f t="shared" si="8"/>
        <v>W</v>
      </c>
      <c r="AC8" s="95" t="s">
        <v>55</v>
      </c>
      <c r="AD8" s="54">
        <f t="shared" si="9"/>
        <v>10</v>
      </c>
      <c r="AE8" s="111"/>
      <c r="AF8" s="94" t="str">
        <f t="shared" si="17"/>
        <v/>
      </c>
      <c r="AG8" s="4" t="str">
        <f t="shared" si="10"/>
        <v>W</v>
      </c>
      <c r="AH8" s="95" t="s">
        <v>55</v>
      </c>
      <c r="AI8" s="54">
        <f t="shared" si="11"/>
        <v>10</v>
      </c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</row>
    <row r="9" spans="1:70">
      <c r="A9" s="79"/>
      <c r="B9" s="97" t="s">
        <v>47</v>
      </c>
      <c r="C9" s="121">
        <v>1</v>
      </c>
      <c r="D9" s="122"/>
      <c r="E9" s="80"/>
      <c r="F9" s="112"/>
      <c r="G9" s="94" t="str">
        <f t="shared" si="12"/>
        <v/>
      </c>
      <c r="H9" s="4" t="str">
        <f t="shared" si="0"/>
        <v>W</v>
      </c>
      <c r="I9" s="95" t="s">
        <v>62</v>
      </c>
      <c r="J9" s="54">
        <f t="shared" si="1"/>
        <v>14</v>
      </c>
      <c r="K9" s="112"/>
      <c r="L9" s="94" t="str">
        <f t="shared" si="13"/>
        <v/>
      </c>
      <c r="M9" s="4" t="str">
        <f t="shared" si="2"/>
        <v>Bt</v>
      </c>
      <c r="N9" s="95" t="s">
        <v>58</v>
      </c>
      <c r="O9" s="54">
        <f t="shared" si="3"/>
        <v>18</v>
      </c>
      <c r="P9" s="112"/>
      <c r="Q9" s="94" t="str">
        <f t="shared" si="14"/>
        <v/>
      </c>
      <c r="R9" s="4" t="str">
        <f t="shared" si="4"/>
        <v>Bw</v>
      </c>
      <c r="S9" s="95" t="s">
        <v>78</v>
      </c>
      <c r="T9" s="54">
        <f t="shared" si="5"/>
        <v>8</v>
      </c>
      <c r="U9" s="112"/>
      <c r="V9" s="94" t="str">
        <f t="shared" si="15"/>
        <v/>
      </c>
      <c r="W9" s="4" t="str">
        <f t="shared" si="6"/>
        <v>Bt</v>
      </c>
      <c r="X9" s="95" t="s">
        <v>59</v>
      </c>
      <c r="Y9" s="54">
        <f t="shared" si="7"/>
        <v>10</v>
      </c>
      <c r="Z9" s="112"/>
      <c r="AA9" s="94" t="str">
        <f t="shared" si="16"/>
        <v/>
      </c>
      <c r="AB9" s="4" t="str">
        <f t="shared" si="8"/>
        <v>Bt</v>
      </c>
      <c r="AC9" s="95" t="s">
        <v>74</v>
      </c>
      <c r="AD9" s="54">
        <f t="shared" si="9"/>
        <v>15</v>
      </c>
      <c r="AE9" s="111"/>
      <c r="AF9" s="94" t="str">
        <f t="shared" si="17"/>
        <v/>
      </c>
      <c r="AG9" s="4" t="str">
        <f t="shared" si="10"/>
        <v>Bt</v>
      </c>
      <c r="AH9" s="95" t="s">
        <v>75</v>
      </c>
      <c r="AI9" s="54">
        <f t="shared" si="11"/>
        <v>12</v>
      </c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</row>
    <row r="10" spans="1:70">
      <c r="A10" s="79"/>
      <c r="B10" s="97" t="s">
        <v>48</v>
      </c>
      <c r="C10" s="121">
        <v>3</v>
      </c>
      <c r="D10" s="122"/>
      <c r="E10" s="80"/>
      <c r="F10" s="112"/>
      <c r="G10" s="94" t="str">
        <f t="shared" si="12"/>
        <v/>
      </c>
      <c r="H10" s="4" t="str">
        <f t="shared" si="0"/>
        <v>Bt</v>
      </c>
      <c r="I10" s="95" t="s">
        <v>61</v>
      </c>
      <c r="J10" s="54">
        <f t="shared" si="1"/>
        <v>7</v>
      </c>
      <c r="K10" s="112"/>
      <c r="L10" s="94" t="str">
        <f t="shared" si="13"/>
        <v/>
      </c>
      <c r="M10" s="4" t="str">
        <f t="shared" si="2"/>
        <v>Bt</v>
      </c>
      <c r="N10" s="95" t="s">
        <v>60</v>
      </c>
      <c r="O10" s="54">
        <f t="shared" si="3"/>
        <v>8</v>
      </c>
      <c r="P10" s="112"/>
      <c r="Q10" s="94" t="str">
        <f t="shared" si="14"/>
        <v/>
      </c>
      <c r="R10" s="4" t="str">
        <f t="shared" si="4"/>
        <v>Bt</v>
      </c>
      <c r="S10" s="95" t="s">
        <v>60</v>
      </c>
      <c r="T10" s="54">
        <f t="shared" si="5"/>
        <v>8</v>
      </c>
      <c r="U10" s="112"/>
      <c r="V10" s="94" t="str">
        <f t="shared" si="15"/>
        <v/>
      </c>
      <c r="W10" s="4" t="str">
        <f t="shared" si="6"/>
        <v>Bt</v>
      </c>
      <c r="X10" s="95" t="s">
        <v>60</v>
      </c>
      <c r="Y10" s="54">
        <f t="shared" si="7"/>
        <v>8</v>
      </c>
      <c r="Z10" s="112"/>
      <c r="AA10" s="94" t="str">
        <f t="shared" si="16"/>
        <v/>
      </c>
      <c r="AB10" s="4" t="str">
        <f t="shared" si="8"/>
        <v>Bt</v>
      </c>
      <c r="AC10" s="95" t="s">
        <v>60</v>
      </c>
      <c r="AD10" s="54">
        <f t="shared" si="9"/>
        <v>8</v>
      </c>
      <c r="AE10" s="111"/>
      <c r="AF10" s="94" t="str">
        <f t="shared" si="17"/>
        <v/>
      </c>
      <c r="AG10" s="4" t="str">
        <f t="shared" si="10"/>
        <v>Bt</v>
      </c>
      <c r="AH10" s="95" t="s">
        <v>60</v>
      </c>
      <c r="AI10" s="54">
        <f t="shared" si="11"/>
        <v>8</v>
      </c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</row>
    <row r="11" spans="1:70" ht="15.75" thickBot="1">
      <c r="A11" s="79"/>
      <c r="B11" s="98" t="s">
        <v>49</v>
      </c>
      <c r="C11" s="121">
        <v>1</v>
      </c>
      <c r="D11" s="122"/>
      <c r="E11" s="79"/>
      <c r="F11" s="112"/>
      <c r="G11" s="94" t="str">
        <f t="shared" si="12"/>
        <v/>
      </c>
      <c r="H11" s="4" t="str">
        <f t="shared" si="0"/>
        <v>All</v>
      </c>
      <c r="I11" s="95" t="s">
        <v>63</v>
      </c>
      <c r="J11" s="54">
        <f t="shared" si="1"/>
        <v>9</v>
      </c>
      <c r="K11" s="112"/>
      <c r="L11" s="94" t="str">
        <f t="shared" si="13"/>
        <v/>
      </c>
      <c r="M11" s="4" t="str">
        <f t="shared" si="2"/>
        <v>Bt</v>
      </c>
      <c r="N11" s="95" t="s">
        <v>61</v>
      </c>
      <c r="O11" s="54">
        <f t="shared" si="3"/>
        <v>7</v>
      </c>
      <c r="P11" s="112"/>
      <c r="Q11" s="94" t="str">
        <f t="shared" si="14"/>
        <v/>
      </c>
      <c r="R11" s="4" t="str">
        <f t="shared" si="4"/>
        <v>All</v>
      </c>
      <c r="S11" s="95" t="s">
        <v>63</v>
      </c>
      <c r="T11" s="54">
        <f t="shared" si="5"/>
        <v>9</v>
      </c>
      <c r="U11" s="112"/>
      <c r="V11" s="94" t="str">
        <f t="shared" si="15"/>
        <v/>
      </c>
      <c r="W11" s="4" t="str">
        <f t="shared" si="6"/>
        <v>Bt</v>
      </c>
      <c r="X11" s="95" t="s">
        <v>61</v>
      </c>
      <c r="Y11" s="54">
        <f t="shared" si="7"/>
        <v>7</v>
      </c>
      <c r="Z11" s="112"/>
      <c r="AA11" s="94" t="str">
        <f t="shared" si="16"/>
        <v/>
      </c>
      <c r="AB11" s="4" t="str">
        <f t="shared" si="8"/>
        <v>Bt</v>
      </c>
      <c r="AC11" s="95" t="s">
        <v>61</v>
      </c>
      <c r="AD11" s="54">
        <f t="shared" si="9"/>
        <v>7</v>
      </c>
      <c r="AE11" s="111"/>
      <c r="AF11" s="94" t="str">
        <f t="shared" si="17"/>
        <v/>
      </c>
      <c r="AG11" s="4" t="str">
        <f t="shared" si="10"/>
        <v>Bt</v>
      </c>
      <c r="AH11" s="95" t="s">
        <v>61</v>
      </c>
      <c r="AI11" s="54">
        <f t="shared" si="11"/>
        <v>7</v>
      </c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</row>
    <row r="12" spans="1:70">
      <c r="A12" s="79"/>
      <c r="B12" s="79"/>
      <c r="C12" s="79"/>
      <c r="D12" s="79"/>
      <c r="E12" s="79"/>
      <c r="F12" s="112"/>
      <c r="G12" s="94" t="str">
        <f t="shared" si="12"/>
        <v/>
      </c>
      <c r="H12" s="4" t="str">
        <f t="shared" si="0"/>
        <v>Bw</v>
      </c>
      <c r="I12" s="95" t="s">
        <v>67</v>
      </c>
      <c r="J12" s="54">
        <f t="shared" si="1"/>
        <v>12</v>
      </c>
      <c r="K12" s="112"/>
      <c r="L12" s="94" t="str">
        <f t="shared" si="13"/>
        <v/>
      </c>
      <c r="M12" s="4" t="str">
        <f t="shared" si="2"/>
        <v>Bw</v>
      </c>
      <c r="N12" s="95" t="s">
        <v>67</v>
      </c>
      <c r="O12" s="54">
        <f t="shared" si="3"/>
        <v>12</v>
      </c>
      <c r="P12" s="112"/>
      <c r="Q12" s="94" t="str">
        <f t="shared" si="14"/>
        <v/>
      </c>
      <c r="R12" s="4" t="str">
        <f t="shared" si="4"/>
        <v>Bt</v>
      </c>
      <c r="S12" s="95" t="s">
        <v>71</v>
      </c>
      <c r="T12" s="54">
        <f t="shared" si="5"/>
        <v>16</v>
      </c>
      <c r="U12" s="112"/>
      <c r="V12" s="94" t="str">
        <f t="shared" si="15"/>
        <v/>
      </c>
      <c r="W12" s="4" t="str">
        <f t="shared" si="6"/>
        <v>Bw</v>
      </c>
      <c r="X12" s="95" t="s">
        <v>67</v>
      </c>
      <c r="Y12" s="54">
        <f t="shared" si="7"/>
        <v>12</v>
      </c>
      <c r="Z12" s="112"/>
      <c r="AA12" s="94" t="str">
        <f t="shared" si="16"/>
        <v/>
      </c>
      <c r="AB12" s="4" t="str">
        <f t="shared" si="8"/>
        <v>Bw</v>
      </c>
      <c r="AC12" s="95" t="s">
        <v>67</v>
      </c>
      <c r="AD12" s="54">
        <f t="shared" si="9"/>
        <v>12</v>
      </c>
      <c r="AE12" s="111"/>
      <c r="AF12" s="94" t="str">
        <f t="shared" si="17"/>
        <v/>
      </c>
      <c r="AG12" s="4" t="str">
        <f t="shared" si="10"/>
        <v>Bw</v>
      </c>
      <c r="AH12" s="95" t="s">
        <v>67</v>
      </c>
      <c r="AI12" s="54">
        <f t="shared" si="11"/>
        <v>12</v>
      </c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</row>
    <row r="13" spans="1:70">
      <c r="A13" s="79"/>
      <c r="B13" s="79"/>
      <c r="C13" s="79"/>
      <c r="D13" s="79"/>
      <c r="E13" s="79"/>
      <c r="F13" s="112"/>
      <c r="G13" s="94" t="str">
        <f t="shared" si="12"/>
        <v/>
      </c>
      <c r="H13" s="4" t="str">
        <f t="shared" si="0"/>
        <v>Bw</v>
      </c>
      <c r="I13" s="95" t="s">
        <v>68</v>
      </c>
      <c r="J13" s="54">
        <f t="shared" si="1"/>
        <v>10</v>
      </c>
      <c r="K13" s="112"/>
      <c r="L13" s="94" t="str">
        <f t="shared" si="13"/>
        <v/>
      </c>
      <c r="M13" s="4" t="str">
        <f t="shared" si="2"/>
        <v>All</v>
      </c>
      <c r="N13" s="95" t="s">
        <v>52</v>
      </c>
      <c r="O13" s="54">
        <f t="shared" si="3"/>
        <v>6</v>
      </c>
      <c r="P13" s="112"/>
      <c r="Q13" s="94" t="str">
        <f t="shared" si="14"/>
        <v/>
      </c>
      <c r="R13" s="4" t="str">
        <f t="shared" si="4"/>
        <v>All</v>
      </c>
      <c r="S13" s="95" t="s">
        <v>52</v>
      </c>
      <c r="T13" s="54">
        <f t="shared" si="5"/>
        <v>6</v>
      </c>
      <c r="U13" s="112"/>
      <c r="V13" s="94" t="str">
        <f t="shared" si="15"/>
        <v/>
      </c>
      <c r="W13" s="4" t="str">
        <f t="shared" si="6"/>
        <v>All</v>
      </c>
      <c r="X13" s="95" t="s">
        <v>52</v>
      </c>
      <c r="Y13" s="54">
        <f t="shared" si="7"/>
        <v>6</v>
      </c>
      <c r="Z13" s="112"/>
      <c r="AA13" s="94" t="str">
        <f t="shared" si="16"/>
        <v/>
      </c>
      <c r="AB13" s="4" t="str">
        <f t="shared" si="8"/>
        <v>All</v>
      </c>
      <c r="AC13" s="95" t="s">
        <v>52</v>
      </c>
      <c r="AD13" s="54">
        <f t="shared" si="9"/>
        <v>6</v>
      </c>
      <c r="AE13" s="111"/>
      <c r="AF13" s="94" t="str">
        <f t="shared" si="17"/>
        <v/>
      </c>
      <c r="AG13" s="4" t="str">
        <f t="shared" si="10"/>
        <v>All</v>
      </c>
      <c r="AH13" s="95" t="s">
        <v>52</v>
      </c>
      <c r="AI13" s="54">
        <f t="shared" si="11"/>
        <v>6</v>
      </c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</row>
    <row r="14" spans="1:70" ht="15.75" thickBot="1">
      <c r="A14" s="79"/>
      <c r="B14" s="79"/>
      <c r="C14" s="79"/>
      <c r="D14" s="79"/>
      <c r="E14" s="79"/>
      <c r="F14" s="112"/>
      <c r="G14" s="99" t="str">
        <f t="shared" si="12"/>
        <v/>
      </c>
      <c r="H14" s="58" t="str">
        <f t="shared" si="0"/>
        <v>Bw</v>
      </c>
      <c r="I14" s="100" t="s">
        <v>69</v>
      </c>
      <c r="J14" s="55">
        <f t="shared" si="1"/>
        <v>6</v>
      </c>
      <c r="K14" s="112"/>
      <c r="L14" s="99" t="str">
        <f t="shared" si="13"/>
        <v/>
      </c>
      <c r="M14" s="58" t="str">
        <f t="shared" si="2"/>
        <v>Bw</v>
      </c>
      <c r="N14" s="100" t="s">
        <v>76</v>
      </c>
      <c r="O14" s="55">
        <f t="shared" si="3"/>
        <v>5</v>
      </c>
      <c r="P14" s="112"/>
      <c r="Q14" s="99" t="str">
        <f t="shared" si="14"/>
        <v/>
      </c>
      <c r="R14" s="58" t="str">
        <f t="shared" si="4"/>
        <v>Bw</v>
      </c>
      <c r="S14" s="100" t="s">
        <v>76</v>
      </c>
      <c r="T14" s="55">
        <f t="shared" si="5"/>
        <v>5</v>
      </c>
      <c r="U14" s="112"/>
      <c r="V14" s="99" t="str">
        <f t="shared" si="15"/>
        <v/>
      </c>
      <c r="W14" s="58" t="str">
        <f t="shared" si="6"/>
        <v>Bw</v>
      </c>
      <c r="X14" s="100" t="s">
        <v>76</v>
      </c>
      <c r="Y14" s="55">
        <f t="shared" si="7"/>
        <v>5</v>
      </c>
      <c r="Z14" s="112"/>
      <c r="AA14" s="99" t="str">
        <f t="shared" si="16"/>
        <v/>
      </c>
      <c r="AB14" s="58" t="str">
        <f t="shared" si="8"/>
        <v>Bw</v>
      </c>
      <c r="AC14" s="100" t="s">
        <v>76</v>
      </c>
      <c r="AD14" s="55">
        <f t="shared" si="9"/>
        <v>5</v>
      </c>
      <c r="AE14" s="111"/>
      <c r="AF14" s="99" t="str">
        <f t="shared" si="17"/>
        <v/>
      </c>
      <c r="AG14" s="58" t="str">
        <f t="shared" si="10"/>
        <v>Bw</v>
      </c>
      <c r="AH14" s="100" t="s">
        <v>76</v>
      </c>
      <c r="AI14" s="55">
        <f t="shared" si="11"/>
        <v>5</v>
      </c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</row>
    <row r="15" spans="1:70">
      <c r="A15" s="79"/>
      <c r="B15" s="79"/>
      <c r="C15" s="79"/>
      <c r="D15" s="101" t="s">
        <v>33</v>
      </c>
      <c r="E15" s="79"/>
      <c r="F15" s="102">
        <f>J3</f>
        <v>123</v>
      </c>
      <c r="G15" s="102"/>
      <c r="H15" s="82"/>
      <c r="I15" s="82"/>
      <c r="J15" s="83"/>
      <c r="K15" s="103">
        <f>O3</f>
        <v>100</v>
      </c>
      <c r="L15" s="102"/>
      <c r="M15" s="82"/>
      <c r="N15" s="82"/>
      <c r="O15" s="83"/>
      <c r="P15" s="103">
        <f>T3</f>
        <v>113</v>
      </c>
      <c r="Q15" s="102"/>
      <c r="R15" s="82"/>
      <c r="S15" s="82"/>
      <c r="T15" s="83"/>
      <c r="U15" s="103">
        <f>Y3</f>
        <v>102</v>
      </c>
      <c r="V15" s="102"/>
      <c r="W15" s="82"/>
      <c r="X15" s="82"/>
      <c r="Y15" s="83"/>
      <c r="Z15" s="103">
        <f>AD3</f>
        <v>107</v>
      </c>
      <c r="AA15" s="102"/>
      <c r="AB15" s="82"/>
      <c r="AC15" s="82"/>
      <c r="AD15" s="83"/>
      <c r="AE15" s="103">
        <f>AI3</f>
        <v>105</v>
      </c>
      <c r="AF15" s="102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</row>
    <row r="16" spans="1:70">
      <c r="A16" s="79"/>
      <c r="B16" s="79"/>
      <c r="C16" s="79"/>
      <c r="D16" s="104" t="s">
        <v>21</v>
      </c>
      <c r="E16" s="79"/>
      <c r="F16" s="102">
        <f>TotalTeamScore!G2</f>
        <v>745</v>
      </c>
      <c r="G16" s="102"/>
      <c r="H16" s="81"/>
      <c r="I16" s="81"/>
      <c r="J16" s="81"/>
      <c r="K16" s="102">
        <f>TotalTeamScore!G3</f>
        <v>597</v>
      </c>
      <c r="L16" s="102"/>
      <c r="M16" s="89"/>
      <c r="N16" s="89"/>
      <c r="O16" s="89"/>
      <c r="P16" s="102">
        <f>TotalTeamScore!G4</f>
        <v>685</v>
      </c>
      <c r="Q16" s="102"/>
      <c r="R16" s="89"/>
      <c r="S16" s="89"/>
      <c r="T16" s="89"/>
      <c r="U16" s="102">
        <f>TotalTeamScore!G5</f>
        <v>461</v>
      </c>
      <c r="V16" s="102"/>
      <c r="W16" s="89"/>
      <c r="X16" s="89"/>
      <c r="Y16" s="89"/>
      <c r="Z16" s="102">
        <f>TotalTeamScore!G6</f>
        <v>616</v>
      </c>
      <c r="AA16" s="102"/>
      <c r="AB16" s="89"/>
      <c r="AC16" s="89"/>
      <c r="AD16" s="89"/>
      <c r="AE16" s="102">
        <f>TotalTeamScore!G7</f>
        <v>600</v>
      </c>
      <c r="AF16" s="102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</row>
    <row r="17" spans="1:70">
      <c r="A17" s="79"/>
      <c r="B17" s="79"/>
      <c r="C17" s="79"/>
      <c r="D17" s="104" t="s">
        <v>95</v>
      </c>
      <c r="E17" s="79"/>
      <c r="F17" s="102">
        <f>COUNTIF(SubstitutionLog!$A:$A,I3)</f>
        <v>0</v>
      </c>
      <c r="G17" s="102"/>
      <c r="H17" s="79"/>
      <c r="I17" s="79"/>
      <c r="J17" s="79"/>
      <c r="K17" s="103">
        <f>COUNTIF(SubstitutionLog!$A:$A,N3)</f>
        <v>0</v>
      </c>
      <c r="L17" s="102"/>
      <c r="M17" s="89"/>
      <c r="N17" s="89"/>
      <c r="O17" s="89"/>
      <c r="P17" s="103">
        <f>COUNTIF(SubstitutionLog!$A:$A,S3)</f>
        <v>0</v>
      </c>
      <c r="Q17" s="102"/>
      <c r="R17" s="89"/>
      <c r="S17" s="89"/>
      <c r="T17" s="89"/>
      <c r="U17" s="103">
        <f>COUNTIF(SubstitutionLog!$A:$A,X3)</f>
        <v>0</v>
      </c>
      <c r="V17" s="102"/>
      <c r="W17" s="89"/>
      <c r="X17" s="89"/>
      <c r="Y17" s="89"/>
      <c r="Z17" s="103">
        <f>COUNTIF(SubstitutionLog!$A:$A,AC3)</f>
        <v>0</v>
      </c>
      <c r="AA17" s="102"/>
      <c r="AB17" s="89"/>
      <c r="AC17" s="89"/>
      <c r="AD17" s="89"/>
      <c r="AE17" s="103">
        <f>COUNTIF(SubstitutionLog!$A:$A,AH3)</f>
        <v>0</v>
      </c>
      <c r="AF17" s="102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</row>
    <row r="18" spans="1:70">
      <c r="A18" s="79"/>
      <c r="B18" s="79"/>
      <c r="C18" s="79"/>
      <c r="D18" s="104" t="s">
        <v>96</v>
      </c>
      <c r="E18" s="79"/>
      <c r="F18" s="102">
        <f>IFERROR(F16-(F17*$C$4),"")</f>
        <v>745</v>
      </c>
      <c r="G18" s="102"/>
      <c r="H18" s="82"/>
      <c r="I18" s="82"/>
      <c r="J18" s="83"/>
      <c r="K18" s="102">
        <f>IFERROR(K16-(K17*$C$4),"")</f>
        <v>597</v>
      </c>
      <c r="L18" s="102"/>
      <c r="M18" s="82"/>
      <c r="N18" s="82"/>
      <c r="O18" s="83"/>
      <c r="P18" s="102">
        <f>IFERROR(P16-(P17*$C$4),"")</f>
        <v>685</v>
      </c>
      <c r="Q18" s="102"/>
      <c r="R18" s="82"/>
      <c r="S18" s="82"/>
      <c r="T18" s="83"/>
      <c r="U18" s="102">
        <f>IFERROR(U16-(U17*$C$4),"")</f>
        <v>461</v>
      </c>
      <c r="V18" s="102"/>
      <c r="W18" s="82"/>
      <c r="X18" s="82"/>
      <c r="Y18" s="83"/>
      <c r="Z18" s="102">
        <f>IFERROR(Z16-(Z17*$C$4),"")</f>
        <v>616</v>
      </c>
      <c r="AA18" s="102"/>
      <c r="AB18" s="82"/>
      <c r="AC18" s="82"/>
      <c r="AD18" s="83"/>
      <c r="AE18" s="102">
        <f>IFERROR(AE16-(AE17*$C$4),"")</f>
        <v>600</v>
      </c>
      <c r="AF18" s="102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</row>
    <row r="19" spans="1:70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</row>
    <row r="20" spans="1:70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</row>
  </sheetData>
  <mergeCells count="13">
    <mergeCell ref="AE3:AE14"/>
    <mergeCell ref="F3:F14"/>
    <mergeCell ref="K3:K14"/>
    <mergeCell ref="P3:P14"/>
    <mergeCell ref="B3:D3"/>
    <mergeCell ref="U3:U14"/>
    <mergeCell ref="Z3:Z14"/>
    <mergeCell ref="B6:D6"/>
    <mergeCell ref="C7:D7"/>
    <mergeCell ref="C8:D8"/>
    <mergeCell ref="C9:D9"/>
    <mergeCell ref="C10:D10"/>
    <mergeCell ref="C11:D11"/>
  </mergeCells>
  <conditionalFormatting sqref="F2:G2 K2:L2 P2:Q2 U2:V2 Z2:AA2 AE2:AF2">
    <cfRule type="containsText" dxfId="2" priority="30" operator="containsText" text="Error">
      <formula>NOT(ISERROR(SEARCH("Error",F2)))</formula>
    </cfRule>
  </conditionalFormatting>
  <conditionalFormatting sqref="G4:G14 L4:L14 Q4:Q14 V4:V14 AA4:AA14 AF4:AF14">
    <cfRule type="containsText" dxfId="1" priority="7" operator="containsText" text="*">
      <formula>NOT(ISERROR(SEARCH("*",G4)))</formula>
    </cfRule>
  </conditionalFormatting>
  <conditionalFormatting sqref="AI3 AD3 Y3 T3 O3 J3">
    <cfRule type="cellIs" dxfId="0" priority="45" operator="greaterThan">
      <formula>$C$5</formula>
    </cfRule>
  </conditionalFormatting>
  <dataValidations count="1">
    <dataValidation type="list" allowBlank="1" showInputMessage="1" showErrorMessage="1" sqref="AH4:AH14 AC4:AC14 S4:S14 N4:N14 X4:X14 I4:I14">
      <formula1>Player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B1:T40"/>
  <sheetViews>
    <sheetView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P2" sqref="P2"/>
    </sheetView>
  </sheetViews>
  <sheetFormatPr defaultRowHeight="15" outlineLevelRow="1"/>
  <cols>
    <col min="1" max="1" width="5.28515625" customWidth="1"/>
    <col min="4" max="4" width="11.7109375" bestFit="1" customWidth="1"/>
    <col min="5" max="5" width="16.28515625" bestFit="1" customWidth="1"/>
    <col min="6" max="6" width="9.28515625" bestFit="1" customWidth="1"/>
    <col min="7" max="7" width="5.7109375" bestFit="1" customWidth="1"/>
    <col min="8" max="8" width="9.28515625" bestFit="1" customWidth="1"/>
    <col min="9" max="9" width="5.7109375" bestFit="1" customWidth="1"/>
    <col min="10" max="10" width="9.28515625" bestFit="1" customWidth="1"/>
    <col min="11" max="11" width="5.7109375" bestFit="1" customWidth="1"/>
    <col min="12" max="12" width="9.28515625" bestFit="1" customWidth="1"/>
    <col min="13" max="13" width="5.7109375" bestFit="1" customWidth="1"/>
    <col min="15" max="15" width="5.7109375" bestFit="1" customWidth="1"/>
    <col min="16" max="16" width="10.140625" bestFit="1" customWidth="1"/>
    <col min="17" max="17" width="11.42578125" bestFit="1" customWidth="1"/>
    <col min="18" max="18" width="0" hidden="1" customWidth="1"/>
    <col min="19" max="19" width="8.5703125" hidden="1" customWidth="1"/>
    <col min="20" max="20" width="0" hidden="1" customWidth="1"/>
    <col min="23" max="23" width="3" bestFit="1" customWidth="1"/>
  </cols>
  <sheetData>
    <row r="1" spans="2:20" ht="15.75" thickBot="1"/>
    <row r="2" spans="2:20">
      <c r="B2" s="107" t="s">
        <v>17</v>
      </c>
      <c r="C2" s="108"/>
      <c r="D2" s="109"/>
    </row>
    <row r="3" spans="2:20">
      <c r="B3" s="11" t="s">
        <v>11</v>
      </c>
      <c r="C3" s="42">
        <v>1</v>
      </c>
      <c r="D3" s="12" t="s">
        <v>7</v>
      </c>
    </row>
    <row r="4" spans="2:20">
      <c r="B4" s="11" t="s">
        <v>12</v>
      </c>
      <c r="C4" s="42">
        <v>10</v>
      </c>
      <c r="D4" s="12" t="s">
        <v>16</v>
      </c>
    </row>
    <row r="5" spans="2:20">
      <c r="B5" s="11" t="s">
        <v>13</v>
      </c>
      <c r="C5" s="42">
        <v>20</v>
      </c>
      <c r="D5" s="12" t="s">
        <v>16</v>
      </c>
    </row>
    <row r="6" spans="2:20">
      <c r="B6" s="11" t="s">
        <v>14</v>
      </c>
      <c r="C6" s="42">
        <v>30</v>
      </c>
      <c r="D6" s="12" t="s">
        <v>16</v>
      </c>
      <c r="F6" s="123" t="s">
        <v>2</v>
      </c>
      <c r="G6" s="123"/>
      <c r="H6" s="123"/>
      <c r="I6" s="123"/>
      <c r="J6" s="123"/>
      <c r="K6" s="123"/>
      <c r="L6" s="123"/>
      <c r="M6" s="123"/>
      <c r="N6" s="123"/>
      <c r="O6" s="6"/>
      <c r="P6" s="1"/>
    </row>
    <row r="7" spans="2:20" ht="15.75" thickBot="1">
      <c r="B7" s="13" t="s">
        <v>15</v>
      </c>
      <c r="C7" s="46">
        <v>50</v>
      </c>
      <c r="D7" s="15" t="s">
        <v>16</v>
      </c>
      <c r="F7" s="124">
        <v>40562</v>
      </c>
      <c r="G7" s="125"/>
      <c r="H7" s="124">
        <v>40563</v>
      </c>
      <c r="I7" s="125"/>
      <c r="J7" s="124">
        <v>40564</v>
      </c>
      <c r="K7" s="125"/>
      <c r="L7" s="124">
        <v>40565</v>
      </c>
      <c r="M7" s="125"/>
      <c r="N7" s="124">
        <v>40566</v>
      </c>
      <c r="O7" s="125"/>
    </row>
    <row r="8" spans="2:20">
      <c r="F8" s="8" t="s">
        <v>6</v>
      </c>
      <c r="G8" s="8" t="s">
        <v>7</v>
      </c>
      <c r="H8" s="8" t="s">
        <v>6</v>
      </c>
      <c r="I8" s="8" t="s">
        <v>7</v>
      </c>
      <c r="J8" s="8" t="s">
        <v>6</v>
      </c>
      <c r="K8" s="8" t="s">
        <v>7</v>
      </c>
      <c r="L8" s="8" t="s">
        <v>6</v>
      </c>
      <c r="M8" s="8" t="s">
        <v>7</v>
      </c>
      <c r="N8" s="8" t="s">
        <v>6</v>
      </c>
      <c r="O8" s="8" t="s">
        <v>7</v>
      </c>
      <c r="P8" s="9" t="s">
        <v>8</v>
      </c>
      <c r="Q8" s="10" t="s">
        <v>3</v>
      </c>
    </row>
    <row r="9" spans="2:20">
      <c r="D9" s="5" t="s">
        <v>0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9"/>
      <c r="Q9" s="48"/>
    </row>
    <row r="10" spans="2:20" outlineLevel="1">
      <c r="E10" s="3" t="str">
        <f>PlayerPool!B3</f>
        <v>Sachin Tendulkar</v>
      </c>
      <c r="F10" s="36">
        <v>100</v>
      </c>
      <c r="G10" s="37">
        <f t="shared" ref="G10:G24" si="0">F10*$C$3+IF(F10&gt;199,$C$7,IF(F10&gt;149,$C$6,IF(F10&gt;99,$C$5,IF(F10&gt;49,$C$4,0))))</f>
        <v>120</v>
      </c>
      <c r="H10" s="36"/>
      <c r="I10" s="37"/>
      <c r="J10" s="36"/>
      <c r="K10" s="37"/>
      <c r="L10" s="36"/>
      <c r="M10" s="37"/>
      <c r="N10" s="36"/>
      <c r="O10" s="37"/>
      <c r="P10" s="36">
        <f>SUM(F10,H10,J10,L10,N10)</f>
        <v>100</v>
      </c>
      <c r="Q10" s="36">
        <f t="shared" ref="Q10:Q40" si="1">SUM(G10,I10,K10,M10,O10)</f>
        <v>120</v>
      </c>
      <c r="R10">
        <f>SUM(F10:N10)</f>
        <v>220</v>
      </c>
      <c r="S10" s="2">
        <f t="shared" ref="S10:S24" si="2">COUNTIF(F10:N10,"&gt;=50")</f>
        <v>2</v>
      </c>
      <c r="T10" s="2">
        <f>COUNTIF(F10:N10,"&gt;=100")</f>
        <v>2</v>
      </c>
    </row>
    <row r="11" spans="2:20" outlineLevel="1">
      <c r="E11" s="3" t="str">
        <f>PlayerPool!B4</f>
        <v>Virender Sehwag</v>
      </c>
      <c r="F11" s="36">
        <v>21</v>
      </c>
      <c r="G11" s="37">
        <f t="shared" si="0"/>
        <v>21</v>
      </c>
      <c r="H11" s="36"/>
      <c r="I11" s="37"/>
      <c r="J11" s="36"/>
      <c r="K11" s="37"/>
      <c r="L11" s="36"/>
      <c r="M11" s="37"/>
      <c r="N11" s="36"/>
      <c r="O11" s="37"/>
      <c r="P11" s="36">
        <f t="shared" ref="P11:P40" si="3">SUM(F11,H11,J11,L11,N11)</f>
        <v>21</v>
      </c>
      <c r="Q11" s="36">
        <f t="shared" si="1"/>
        <v>21</v>
      </c>
      <c r="S11" s="2">
        <f t="shared" si="2"/>
        <v>0</v>
      </c>
      <c r="T11" s="2">
        <f t="shared" ref="T11:T24" si="4">COUNTIF(F11:N11,"&gt;=100")</f>
        <v>0</v>
      </c>
    </row>
    <row r="12" spans="2:20" outlineLevel="1">
      <c r="E12" s="3" t="str">
        <f>PlayerPool!B5</f>
        <v>Gautam Gambhir</v>
      </c>
      <c r="F12" s="36">
        <v>12</v>
      </c>
      <c r="G12" s="37">
        <f t="shared" si="0"/>
        <v>12</v>
      </c>
      <c r="H12" s="36"/>
      <c r="I12" s="37"/>
      <c r="J12" s="36"/>
      <c r="K12" s="37"/>
      <c r="L12" s="36"/>
      <c r="M12" s="37"/>
      <c r="N12" s="36"/>
      <c r="O12" s="37"/>
      <c r="P12" s="36">
        <f t="shared" si="3"/>
        <v>12</v>
      </c>
      <c r="Q12" s="36">
        <f t="shared" si="1"/>
        <v>12</v>
      </c>
      <c r="S12" s="2">
        <f t="shared" si="2"/>
        <v>0</v>
      </c>
      <c r="T12" s="2">
        <f t="shared" si="4"/>
        <v>0</v>
      </c>
    </row>
    <row r="13" spans="2:20" outlineLevel="1">
      <c r="E13" s="3" t="str">
        <f>PlayerPool!B6</f>
        <v>Viraat Kohli</v>
      </c>
      <c r="F13" s="36">
        <v>54</v>
      </c>
      <c r="G13" s="37">
        <f t="shared" si="0"/>
        <v>64</v>
      </c>
      <c r="H13" s="36"/>
      <c r="I13" s="37"/>
      <c r="J13" s="36"/>
      <c r="K13" s="37"/>
      <c r="L13" s="36"/>
      <c r="M13" s="37"/>
      <c r="N13" s="36"/>
      <c r="O13" s="37"/>
      <c r="P13" s="36">
        <f t="shared" si="3"/>
        <v>54</v>
      </c>
      <c r="Q13" s="36">
        <f t="shared" si="1"/>
        <v>64</v>
      </c>
      <c r="S13" s="2">
        <f t="shared" si="2"/>
        <v>2</v>
      </c>
      <c r="T13" s="2">
        <f t="shared" si="4"/>
        <v>0</v>
      </c>
    </row>
    <row r="14" spans="2:20" outlineLevel="1">
      <c r="E14" s="3" t="str">
        <f>PlayerPool!B7</f>
        <v>Yuvraj Singh</v>
      </c>
      <c r="F14" s="36">
        <v>23</v>
      </c>
      <c r="G14" s="37">
        <f t="shared" si="0"/>
        <v>23</v>
      </c>
      <c r="H14" s="36"/>
      <c r="I14" s="37"/>
      <c r="J14" s="36"/>
      <c r="K14" s="37"/>
      <c r="L14" s="36"/>
      <c r="M14" s="37"/>
      <c r="N14" s="36"/>
      <c r="O14" s="37"/>
      <c r="P14" s="36">
        <f t="shared" si="3"/>
        <v>23</v>
      </c>
      <c r="Q14" s="36">
        <f t="shared" si="1"/>
        <v>23</v>
      </c>
      <c r="S14" s="2">
        <f t="shared" si="2"/>
        <v>0</v>
      </c>
      <c r="T14" s="2">
        <f t="shared" si="4"/>
        <v>0</v>
      </c>
    </row>
    <row r="15" spans="2:20" outlineLevel="1">
      <c r="E15" s="3" t="str">
        <f>PlayerPool!B8</f>
        <v>Suresh Raina</v>
      </c>
      <c r="F15" s="36">
        <v>32</v>
      </c>
      <c r="G15" s="37">
        <f t="shared" si="0"/>
        <v>32</v>
      </c>
      <c r="H15" s="36"/>
      <c r="I15" s="37"/>
      <c r="J15" s="36"/>
      <c r="K15" s="37"/>
      <c r="L15" s="36"/>
      <c r="M15" s="37"/>
      <c r="N15" s="36"/>
      <c r="O15" s="37"/>
      <c r="P15" s="36">
        <f t="shared" si="3"/>
        <v>32</v>
      </c>
      <c r="Q15" s="36">
        <f t="shared" si="1"/>
        <v>32</v>
      </c>
      <c r="S15" s="2">
        <f t="shared" si="2"/>
        <v>0</v>
      </c>
      <c r="T15" s="2">
        <f t="shared" si="4"/>
        <v>0</v>
      </c>
    </row>
    <row r="16" spans="2:20" outlineLevel="1">
      <c r="E16" s="3" t="str">
        <f>PlayerPool!B9</f>
        <v>MS Dhoni</v>
      </c>
      <c r="F16" s="36">
        <v>25</v>
      </c>
      <c r="G16" s="37">
        <f t="shared" si="0"/>
        <v>25</v>
      </c>
      <c r="H16" s="36"/>
      <c r="I16" s="37"/>
      <c r="J16" s="36"/>
      <c r="K16" s="37"/>
      <c r="L16" s="36"/>
      <c r="M16" s="37"/>
      <c r="N16" s="36"/>
      <c r="O16" s="37"/>
      <c r="P16" s="36">
        <f t="shared" si="3"/>
        <v>25</v>
      </c>
      <c r="Q16" s="36">
        <f t="shared" si="1"/>
        <v>25</v>
      </c>
      <c r="S16" s="2">
        <f t="shared" si="2"/>
        <v>0</v>
      </c>
      <c r="T16" s="2">
        <f t="shared" si="4"/>
        <v>0</v>
      </c>
    </row>
    <row r="17" spans="4:20" outlineLevel="1">
      <c r="E17" s="3" t="str">
        <f>PlayerPool!B10</f>
        <v>Yousuf Pathan</v>
      </c>
      <c r="F17" s="36">
        <v>76</v>
      </c>
      <c r="G17" s="37">
        <f t="shared" si="0"/>
        <v>86</v>
      </c>
      <c r="H17" s="36"/>
      <c r="I17" s="37"/>
      <c r="J17" s="36"/>
      <c r="K17" s="37"/>
      <c r="L17" s="36"/>
      <c r="M17" s="37"/>
      <c r="N17" s="36"/>
      <c r="O17" s="37"/>
      <c r="P17" s="36">
        <f t="shared" si="3"/>
        <v>76</v>
      </c>
      <c r="Q17" s="36">
        <f t="shared" si="1"/>
        <v>86</v>
      </c>
      <c r="S17" s="2"/>
      <c r="T17" s="2"/>
    </row>
    <row r="18" spans="4:20" outlineLevel="1">
      <c r="E18" s="3" t="str">
        <f>PlayerPool!B11</f>
        <v>Munaf Patel</v>
      </c>
      <c r="F18" s="36">
        <v>3</v>
      </c>
      <c r="G18" s="37">
        <f t="shared" si="0"/>
        <v>3</v>
      </c>
      <c r="H18" s="36"/>
      <c r="I18" s="37"/>
      <c r="J18" s="36"/>
      <c r="K18" s="37"/>
      <c r="L18" s="36"/>
      <c r="M18" s="37"/>
      <c r="N18" s="36"/>
      <c r="O18" s="37"/>
      <c r="P18" s="36">
        <f t="shared" si="3"/>
        <v>3</v>
      </c>
      <c r="Q18" s="36">
        <f t="shared" si="1"/>
        <v>3</v>
      </c>
      <c r="S18" s="2"/>
      <c r="T18" s="2"/>
    </row>
    <row r="19" spans="4:20" outlineLevel="1">
      <c r="E19" s="3" t="str">
        <f>PlayerPool!B12</f>
        <v>Piyush Chawla</v>
      </c>
      <c r="F19" s="36"/>
      <c r="G19" s="37">
        <f t="shared" si="0"/>
        <v>0</v>
      </c>
      <c r="H19" s="36"/>
      <c r="I19" s="37"/>
      <c r="J19" s="36"/>
      <c r="K19" s="37"/>
      <c r="L19" s="36"/>
      <c r="M19" s="37"/>
      <c r="N19" s="36"/>
      <c r="O19" s="37"/>
      <c r="P19" s="36">
        <f t="shared" si="3"/>
        <v>0</v>
      </c>
      <c r="Q19" s="36">
        <f t="shared" si="1"/>
        <v>0</v>
      </c>
      <c r="S19" s="2"/>
      <c r="T19" s="2"/>
    </row>
    <row r="20" spans="4:20" outlineLevel="1">
      <c r="E20" s="3" t="str">
        <f>PlayerPool!B13</f>
        <v>Ashish Nehra</v>
      </c>
      <c r="F20" s="36"/>
      <c r="G20" s="37">
        <f t="shared" si="0"/>
        <v>0</v>
      </c>
      <c r="H20" s="36"/>
      <c r="I20" s="37"/>
      <c r="J20" s="36"/>
      <c r="K20" s="37"/>
      <c r="L20" s="36"/>
      <c r="M20" s="37"/>
      <c r="N20" s="36"/>
      <c r="O20" s="37"/>
      <c r="P20" s="36">
        <f t="shared" si="3"/>
        <v>0</v>
      </c>
      <c r="Q20" s="36">
        <f t="shared" si="1"/>
        <v>0</v>
      </c>
      <c r="S20" s="2"/>
      <c r="T20" s="2"/>
    </row>
    <row r="21" spans="4:20" outlineLevel="1">
      <c r="E21" s="3" t="str">
        <f>PlayerPool!B14</f>
        <v>Harbhajan Singh</v>
      </c>
      <c r="F21" s="36">
        <v>2</v>
      </c>
      <c r="G21" s="37">
        <f t="shared" si="0"/>
        <v>2</v>
      </c>
      <c r="H21" s="36"/>
      <c r="I21" s="37"/>
      <c r="J21" s="36"/>
      <c r="K21" s="37"/>
      <c r="L21" s="36"/>
      <c r="M21" s="37"/>
      <c r="N21" s="36"/>
      <c r="O21" s="37"/>
      <c r="P21" s="36">
        <f t="shared" si="3"/>
        <v>2</v>
      </c>
      <c r="Q21" s="36">
        <f t="shared" si="1"/>
        <v>2</v>
      </c>
      <c r="S21" s="2"/>
      <c r="T21" s="2"/>
    </row>
    <row r="22" spans="4:20" outlineLevel="1">
      <c r="E22" s="3" t="str">
        <f>PlayerPool!B15</f>
        <v>Zaheer Khan</v>
      </c>
      <c r="F22" s="36">
        <v>0</v>
      </c>
      <c r="G22" s="37">
        <f t="shared" si="0"/>
        <v>0</v>
      </c>
      <c r="H22" s="36"/>
      <c r="I22" s="37"/>
      <c r="J22" s="36"/>
      <c r="K22" s="37"/>
      <c r="L22" s="36"/>
      <c r="M22" s="37"/>
      <c r="N22" s="36"/>
      <c r="O22" s="37"/>
      <c r="P22" s="36">
        <f t="shared" si="3"/>
        <v>0</v>
      </c>
      <c r="Q22" s="36">
        <f t="shared" si="1"/>
        <v>0</v>
      </c>
      <c r="S22" s="2">
        <f t="shared" si="2"/>
        <v>0</v>
      </c>
      <c r="T22" s="2">
        <f t="shared" si="4"/>
        <v>0</v>
      </c>
    </row>
    <row r="23" spans="4:20" outlineLevel="1">
      <c r="E23" s="3" t="str">
        <f>PlayerPool!B16</f>
        <v>Praveen Kumar</v>
      </c>
      <c r="F23" s="36"/>
      <c r="G23" s="37">
        <f t="shared" si="0"/>
        <v>0</v>
      </c>
      <c r="H23" s="36"/>
      <c r="I23" s="37"/>
      <c r="J23" s="36"/>
      <c r="K23" s="37"/>
      <c r="L23" s="36"/>
      <c r="M23" s="37"/>
      <c r="N23" s="36"/>
      <c r="O23" s="37"/>
      <c r="P23" s="36">
        <f t="shared" si="3"/>
        <v>0</v>
      </c>
      <c r="Q23" s="36">
        <f t="shared" si="1"/>
        <v>0</v>
      </c>
      <c r="S23" s="2">
        <f t="shared" si="2"/>
        <v>0</v>
      </c>
      <c r="T23" s="2">
        <f t="shared" si="4"/>
        <v>0</v>
      </c>
    </row>
    <row r="24" spans="4:20" outlineLevel="1">
      <c r="E24" s="3" t="str">
        <f>PlayerPool!B17</f>
        <v>R Ashwin</v>
      </c>
      <c r="F24" s="36"/>
      <c r="G24" s="37">
        <f t="shared" si="0"/>
        <v>0</v>
      </c>
      <c r="H24" s="36"/>
      <c r="I24" s="37"/>
      <c r="J24" s="36"/>
      <c r="K24" s="37"/>
      <c r="L24" s="36"/>
      <c r="M24" s="37"/>
      <c r="N24" s="36"/>
      <c r="O24" s="37"/>
      <c r="P24" s="36">
        <f t="shared" si="3"/>
        <v>0</v>
      </c>
      <c r="Q24" s="36">
        <f t="shared" si="1"/>
        <v>0</v>
      </c>
      <c r="S24" s="2">
        <f t="shared" si="2"/>
        <v>0</v>
      </c>
      <c r="T24" s="2">
        <f t="shared" si="4"/>
        <v>0</v>
      </c>
    </row>
    <row r="25" spans="4:20">
      <c r="D25" s="5" t="s">
        <v>1</v>
      </c>
      <c r="E25" s="3"/>
      <c r="F25" s="36"/>
      <c r="G25" s="37"/>
      <c r="H25" s="36"/>
      <c r="I25" s="37"/>
      <c r="J25" s="36"/>
      <c r="K25" s="37"/>
      <c r="L25" s="36"/>
      <c r="M25" s="37"/>
      <c r="N25" s="36"/>
      <c r="O25" s="37"/>
      <c r="P25" s="36">
        <f t="shared" si="3"/>
        <v>0</v>
      </c>
      <c r="Q25" s="36">
        <f t="shared" si="1"/>
        <v>0</v>
      </c>
    </row>
    <row r="26" spans="4:20" outlineLevel="1">
      <c r="E26" s="3" t="str">
        <f>PlayerPool!B18</f>
        <v>H Amla</v>
      </c>
      <c r="F26" s="36">
        <v>52</v>
      </c>
      <c r="G26" s="37">
        <f t="shared" ref="G26:G40" si="5">F26*$C$3+IF(F26&gt;199,$C$7,IF(F26&gt;149,$C$6,IF(F26&gt;99,$C$5,IF(F26&gt;49,$C$4,0))))</f>
        <v>62</v>
      </c>
      <c r="H26" s="36"/>
      <c r="I26" s="37"/>
      <c r="J26" s="36"/>
      <c r="K26" s="37"/>
      <c r="L26" s="36"/>
      <c r="M26" s="37"/>
      <c r="N26" s="36"/>
      <c r="O26" s="37"/>
      <c r="P26" s="36">
        <f t="shared" si="3"/>
        <v>52</v>
      </c>
      <c r="Q26" s="36">
        <f t="shared" si="1"/>
        <v>62</v>
      </c>
    </row>
    <row r="27" spans="4:20" outlineLevel="1">
      <c r="E27" s="3" t="str">
        <f>PlayerPool!B19</f>
        <v>G Smith</v>
      </c>
      <c r="F27" s="36">
        <v>7</v>
      </c>
      <c r="G27" s="37">
        <f t="shared" si="5"/>
        <v>7</v>
      </c>
      <c r="H27" s="36"/>
      <c r="I27" s="37"/>
      <c r="J27" s="36"/>
      <c r="K27" s="37"/>
      <c r="L27" s="36"/>
      <c r="M27" s="37"/>
      <c r="N27" s="36"/>
      <c r="O27" s="37"/>
      <c r="P27" s="36">
        <f t="shared" si="3"/>
        <v>7</v>
      </c>
      <c r="Q27" s="36">
        <f t="shared" si="1"/>
        <v>7</v>
      </c>
    </row>
    <row r="28" spans="4:20" outlineLevel="1">
      <c r="E28" s="3" t="str">
        <f>PlayerPool!B20</f>
        <v>J Kallis</v>
      </c>
      <c r="F28" s="36">
        <v>43</v>
      </c>
      <c r="G28" s="37">
        <f t="shared" si="5"/>
        <v>43</v>
      </c>
      <c r="H28" s="36"/>
      <c r="I28" s="37"/>
      <c r="J28" s="36"/>
      <c r="K28" s="37"/>
      <c r="L28" s="36"/>
      <c r="M28" s="37"/>
      <c r="N28" s="36"/>
      <c r="O28" s="37"/>
      <c r="P28" s="36">
        <f t="shared" si="3"/>
        <v>43</v>
      </c>
      <c r="Q28" s="36">
        <f t="shared" si="1"/>
        <v>43</v>
      </c>
    </row>
    <row r="29" spans="4:20" outlineLevel="1">
      <c r="E29" s="3" t="str">
        <f>PlayerPool!B21</f>
        <v>AB De Villiers</v>
      </c>
      <c r="F29" s="36">
        <v>21</v>
      </c>
      <c r="G29" s="37">
        <f t="shared" si="5"/>
        <v>21</v>
      </c>
      <c r="H29" s="36"/>
      <c r="I29" s="37"/>
      <c r="J29" s="36"/>
      <c r="K29" s="37"/>
      <c r="L29" s="36"/>
      <c r="M29" s="37"/>
      <c r="N29" s="36"/>
      <c r="O29" s="37"/>
      <c r="P29" s="36">
        <f t="shared" si="3"/>
        <v>21</v>
      </c>
      <c r="Q29" s="36">
        <f t="shared" si="1"/>
        <v>21</v>
      </c>
    </row>
    <row r="30" spans="4:20" outlineLevel="1">
      <c r="E30" s="3" t="str">
        <f>PlayerPool!B22</f>
        <v>Faf du plessis</v>
      </c>
      <c r="F30" s="36">
        <v>34</v>
      </c>
      <c r="G30" s="37">
        <f t="shared" si="5"/>
        <v>34</v>
      </c>
      <c r="H30" s="36"/>
      <c r="I30" s="37"/>
      <c r="J30" s="36"/>
      <c r="K30" s="37"/>
      <c r="L30" s="36"/>
      <c r="M30" s="37"/>
      <c r="N30" s="36"/>
      <c r="O30" s="37"/>
      <c r="P30" s="36">
        <f t="shared" si="3"/>
        <v>34</v>
      </c>
      <c r="Q30" s="36">
        <f t="shared" si="1"/>
        <v>34</v>
      </c>
    </row>
    <row r="31" spans="4:20" outlineLevel="1">
      <c r="E31" s="3" t="str">
        <f>PlayerPool!B23</f>
        <v>Imran Tahir</v>
      </c>
      <c r="F31" s="36"/>
      <c r="G31" s="37">
        <f t="shared" si="5"/>
        <v>0</v>
      </c>
      <c r="H31" s="36"/>
      <c r="I31" s="37"/>
      <c r="J31" s="36"/>
      <c r="K31" s="37"/>
      <c r="L31" s="36"/>
      <c r="M31" s="37"/>
      <c r="N31" s="36"/>
      <c r="O31" s="37"/>
      <c r="P31" s="36">
        <f t="shared" si="3"/>
        <v>0</v>
      </c>
      <c r="Q31" s="36">
        <f t="shared" si="1"/>
        <v>0</v>
      </c>
    </row>
    <row r="32" spans="4:20" outlineLevel="1">
      <c r="E32" s="3" t="str">
        <f>PlayerPool!B24</f>
        <v>Colin Ingram</v>
      </c>
      <c r="F32" s="36"/>
      <c r="G32" s="37">
        <f t="shared" si="5"/>
        <v>0</v>
      </c>
      <c r="H32" s="36"/>
      <c r="I32" s="37"/>
      <c r="J32" s="36"/>
      <c r="K32" s="37"/>
      <c r="L32" s="36"/>
      <c r="M32" s="37"/>
      <c r="N32" s="36"/>
      <c r="O32" s="37"/>
      <c r="P32" s="36">
        <f t="shared" si="3"/>
        <v>0</v>
      </c>
      <c r="Q32" s="36">
        <f t="shared" si="1"/>
        <v>0</v>
      </c>
    </row>
    <row r="33" spans="5:17" outlineLevel="1">
      <c r="E33" s="3" t="str">
        <f>PlayerPool!B25</f>
        <v>JP Duminy</v>
      </c>
      <c r="F33" s="36">
        <v>21</v>
      </c>
      <c r="G33" s="37">
        <f t="shared" si="5"/>
        <v>21</v>
      </c>
      <c r="H33" s="36"/>
      <c r="I33" s="37"/>
      <c r="J33" s="36"/>
      <c r="K33" s="37"/>
      <c r="L33" s="36"/>
      <c r="M33" s="37"/>
      <c r="N33" s="36"/>
      <c r="O33" s="37"/>
      <c r="P33" s="36">
        <f t="shared" si="3"/>
        <v>21</v>
      </c>
      <c r="Q33" s="36">
        <f t="shared" si="1"/>
        <v>21</v>
      </c>
    </row>
    <row r="34" spans="5:17" outlineLevel="1">
      <c r="E34" s="3" t="str">
        <f>PlayerPool!B26</f>
        <v>R Peterson</v>
      </c>
      <c r="F34" s="36"/>
      <c r="G34" s="37">
        <f t="shared" si="5"/>
        <v>0</v>
      </c>
      <c r="H34" s="36"/>
      <c r="I34" s="37"/>
      <c r="J34" s="36"/>
      <c r="K34" s="37"/>
      <c r="L34" s="36"/>
      <c r="M34" s="37"/>
      <c r="N34" s="36"/>
      <c r="O34" s="37"/>
      <c r="P34" s="36">
        <f t="shared" si="3"/>
        <v>0</v>
      </c>
      <c r="Q34" s="36">
        <f t="shared" si="1"/>
        <v>0</v>
      </c>
    </row>
    <row r="35" spans="5:17" outlineLevel="1">
      <c r="E35" s="3" t="str">
        <f>PlayerPool!B27</f>
        <v>T Tsotsobe</v>
      </c>
      <c r="F35" s="36">
        <v>76</v>
      </c>
      <c r="G35" s="37">
        <f t="shared" si="5"/>
        <v>86</v>
      </c>
      <c r="H35" s="36"/>
      <c r="I35" s="37"/>
      <c r="J35" s="36"/>
      <c r="K35" s="37"/>
      <c r="L35" s="36"/>
      <c r="M35" s="37"/>
      <c r="N35" s="36"/>
      <c r="O35" s="37"/>
      <c r="P35" s="36">
        <f t="shared" si="3"/>
        <v>76</v>
      </c>
      <c r="Q35" s="36">
        <f t="shared" si="1"/>
        <v>86</v>
      </c>
    </row>
    <row r="36" spans="5:17" outlineLevel="1">
      <c r="E36" s="3" t="str">
        <f>PlayerPool!B28</f>
        <v>Morne Van Wyk</v>
      </c>
      <c r="F36" s="36"/>
      <c r="G36" s="37">
        <f t="shared" si="5"/>
        <v>0</v>
      </c>
      <c r="H36" s="36"/>
      <c r="I36" s="37"/>
      <c r="J36" s="36"/>
      <c r="K36" s="37"/>
      <c r="L36" s="36"/>
      <c r="M36" s="37"/>
      <c r="N36" s="36"/>
      <c r="O36" s="37"/>
      <c r="P36" s="36">
        <f t="shared" si="3"/>
        <v>0</v>
      </c>
      <c r="Q36" s="36">
        <f t="shared" si="1"/>
        <v>0</v>
      </c>
    </row>
    <row r="37" spans="5:17" outlineLevel="1">
      <c r="E37" s="3" t="str">
        <f>PlayerPool!B29</f>
        <v>J Botha</v>
      </c>
      <c r="F37" s="36">
        <v>5</v>
      </c>
      <c r="G37" s="37">
        <f t="shared" si="5"/>
        <v>5</v>
      </c>
      <c r="H37" s="36"/>
      <c r="I37" s="37"/>
      <c r="J37" s="36"/>
      <c r="K37" s="37"/>
      <c r="L37" s="36"/>
      <c r="M37" s="37"/>
      <c r="N37" s="36"/>
      <c r="O37" s="37"/>
      <c r="P37" s="36">
        <f t="shared" si="3"/>
        <v>5</v>
      </c>
      <c r="Q37" s="36">
        <f t="shared" si="1"/>
        <v>5</v>
      </c>
    </row>
    <row r="38" spans="5:17" outlineLevel="1">
      <c r="E38" s="3" t="str">
        <f>PlayerPool!B30</f>
        <v>Dale Steyn</v>
      </c>
      <c r="F38" s="36">
        <v>3</v>
      </c>
      <c r="G38" s="37">
        <f t="shared" si="5"/>
        <v>3</v>
      </c>
      <c r="H38" s="36"/>
      <c r="I38" s="37"/>
      <c r="J38" s="36"/>
      <c r="K38" s="37"/>
      <c r="L38" s="36"/>
      <c r="M38" s="37"/>
      <c r="N38" s="36"/>
      <c r="O38" s="37"/>
      <c r="P38" s="36">
        <f t="shared" si="3"/>
        <v>3</v>
      </c>
      <c r="Q38" s="36">
        <f t="shared" si="1"/>
        <v>3</v>
      </c>
    </row>
    <row r="39" spans="5:17" outlineLevel="1">
      <c r="E39" s="3" t="str">
        <f>PlayerPool!B31</f>
        <v>Morne Morkel</v>
      </c>
      <c r="F39" s="36">
        <v>9</v>
      </c>
      <c r="G39" s="37">
        <f t="shared" si="5"/>
        <v>9</v>
      </c>
      <c r="H39" s="36"/>
      <c r="I39" s="37"/>
      <c r="J39" s="36"/>
      <c r="K39" s="37"/>
      <c r="L39" s="36"/>
      <c r="M39" s="37"/>
      <c r="N39" s="36"/>
      <c r="O39" s="37"/>
      <c r="P39" s="36">
        <f t="shared" si="3"/>
        <v>9</v>
      </c>
      <c r="Q39" s="36">
        <f t="shared" si="1"/>
        <v>9</v>
      </c>
    </row>
    <row r="40" spans="5:17" outlineLevel="1">
      <c r="E40" s="3" t="str">
        <f>PlayerPool!B32</f>
        <v>T Parnell</v>
      </c>
      <c r="F40" s="36">
        <v>11</v>
      </c>
      <c r="G40" s="37">
        <f t="shared" si="5"/>
        <v>11</v>
      </c>
      <c r="H40" s="36"/>
      <c r="I40" s="37"/>
      <c r="J40" s="36"/>
      <c r="K40" s="37"/>
      <c r="L40" s="36"/>
      <c r="M40" s="37"/>
      <c r="N40" s="36"/>
      <c r="O40" s="37"/>
      <c r="P40" s="36">
        <f t="shared" si="3"/>
        <v>11</v>
      </c>
      <c r="Q40" s="36">
        <f t="shared" si="1"/>
        <v>11</v>
      </c>
    </row>
  </sheetData>
  <mergeCells count="7">
    <mergeCell ref="B2:D2"/>
    <mergeCell ref="F6:N6"/>
    <mergeCell ref="F7:G7"/>
    <mergeCell ref="H7:I7"/>
    <mergeCell ref="J7:K7"/>
    <mergeCell ref="L7:M7"/>
    <mergeCell ref="N7:O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B1:R40"/>
  <sheetViews>
    <sheetView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G12" sqref="G12"/>
    </sheetView>
  </sheetViews>
  <sheetFormatPr defaultRowHeight="15" outlineLevelRow="1"/>
  <cols>
    <col min="1" max="1" width="5" customWidth="1"/>
    <col min="4" max="4" width="11.7109375" bestFit="1" customWidth="1"/>
    <col min="5" max="5" width="16.28515625" bestFit="1" customWidth="1"/>
    <col min="7" max="7" width="5.7109375" bestFit="1" customWidth="1"/>
    <col min="9" max="9" width="5.7109375" bestFit="1" customWidth="1"/>
    <col min="11" max="11" width="5.7109375" bestFit="1" customWidth="1"/>
    <col min="12" max="12" width="11.42578125" bestFit="1" customWidth="1"/>
    <col min="13" max="13" width="5.7109375" bestFit="1" customWidth="1"/>
    <col min="15" max="15" width="5.7109375" bestFit="1" customWidth="1"/>
    <col min="16" max="16" width="12.85546875" bestFit="1" customWidth="1"/>
    <col min="17" max="17" width="11.42578125" bestFit="1" customWidth="1"/>
    <col min="18" max="18" width="6.5703125" customWidth="1"/>
    <col min="19" max="19" width="15.85546875" bestFit="1" customWidth="1"/>
    <col min="20" max="20" width="3" bestFit="1" customWidth="1"/>
    <col min="21" max="21" width="6.5703125" bestFit="1" customWidth="1"/>
  </cols>
  <sheetData>
    <row r="1" spans="2:18" ht="15.75" thickBot="1"/>
    <row r="2" spans="2:18">
      <c r="B2" s="107" t="s">
        <v>17</v>
      </c>
      <c r="C2" s="108"/>
      <c r="D2" s="109"/>
    </row>
    <row r="3" spans="2:18">
      <c r="B3" s="11" t="s">
        <v>18</v>
      </c>
      <c r="C3" s="42">
        <v>25</v>
      </c>
      <c r="D3" s="12" t="s">
        <v>21</v>
      </c>
    </row>
    <row r="4" spans="2:18">
      <c r="B4" s="11" t="s">
        <v>22</v>
      </c>
      <c r="C4" s="42">
        <v>10</v>
      </c>
      <c r="D4" s="12" t="s">
        <v>16</v>
      </c>
    </row>
    <row r="5" spans="2:18">
      <c r="B5" s="11" t="s">
        <v>19</v>
      </c>
      <c r="C5" s="42">
        <v>20</v>
      </c>
      <c r="D5" s="12" t="s">
        <v>16</v>
      </c>
    </row>
    <row r="6" spans="2:18" ht="15.75" thickBot="1">
      <c r="B6" s="13" t="s">
        <v>20</v>
      </c>
      <c r="C6" s="46">
        <v>30</v>
      </c>
      <c r="D6" s="15" t="s">
        <v>16</v>
      </c>
      <c r="F6" s="123" t="s">
        <v>2</v>
      </c>
      <c r="G6" s="123"/>
      <c r="H6" s="123"/>
      <c r="I6" s="123"/>
      <c r="J6" s="123"/>
      <c r="K6" s="123"/>
      <c r="L6" s="123"/>
      <c r="M6" s="123"/>
      <c r="N6" s="123"/>
      <c r="O6" s="123"/>
    </row>
    <row r="7" spans="2:18">
      <c r="F7" s="124">
        <v>40562</v>
      </c>
      <c r="G7" s="125"/>
      <c r="H7" s="124">
        <v>40563</v>
      </c>
      <c r="I7" s="125"/>
      <c r="J7" s="124">
        <v>40564</v>
      </c>
      <c r="K7" s="125"/>
      <c r="L7" s="124">
        <v>40565</v>
      </c>
      <c r="M7" s="125"/>
      <c r="N7" s="124">
        <v>40566</v>
      </c>
      <c r="O7" s="125"/>
    </row>
    <row r="8" spans="2:18">
      <c r="F8" s="8" t="s">
        <v>9</v>
      </c>
      <c r="G8" s="8" t="s">
        <v>7</v>
      </c>
      <c r="H8" s="8" t="s">
        <v>9</v>
      </c>
      <c r="I8" s="8" t="s">
        <v>7</v>
      </c>
      <c r="J8" s="8" t="s">
        <v>9</v>
      </c>
      <c r="K8" s="8" t="s">
        <v>7</v>
      </c>
      <c r="L8" s="8" t="s">
        <v>9</v>
      </c>
      <c r="M8" s="8" t="s">
        <v>7</v>
      </c>
      <c r="N8" s="8" t="s">
        <v>9</v>
      </c>
      <c r="O8" s="8" t="s">
        <v>7</v>
      </c>
      <c r="P8" s="9" t="s">
        <v>10</v>
      </c>
      <c r="Q8" s="10" t="s">
        <v>3</v>
      </c>
      <c r="R8" s="17"/>
    </row>
    <row r="9" spans="2:18">
      <c r="D9" s="5" t="s">
        <v>0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9"/>
      <c r="Q9" s="48"/>
      <c r="R9" s="17"/>
    </row>
    <row r="10" spans="2:18" outlineLevel="1">
      <c r="E10" s="3" t="str">
        <f>PlayerPool!B3</f>
        <v>Sachin Tendulkar</v>
      </c>
      <c r="F10" s="36">
        <v>0</v>
      </c>
      <c r="G10" s="37">
        <f>F10*$C$3+IF(F10&gt;4,$C$6,IF(F10&gt;3,$C$5,IF(F10&gt;2,$C$4,0)))</f>
        <v>0</v>
      </c>
      <c r="H10" s="36"/>
      <c r="I10" s="37">
        <f>H10*$C$3+IF(H10&gt;4,$C$6,IF(H10&gt;3,$C$5,IF(H10&gt;2,$C$4,0)))</f>
        <v>0</v>
      </c>
      <c r="J10" s="36"/>
      <c r="K10" s="37">
        <f>J10*$C$3+IF(J10&gt;4,$C$6,IF(J10&gt;3,$C$5,IF(J10&gt;2,$C$4,0)))</f>
        <v>0</v>
      </c>
      <c r="L10" s="36"/>
      <c r="M10" s="37">
        <f>L10*$C$3+IF(L10&gt;4,$C$6,IF(L10&gt;3,$C$5,IF(L10&gt;2,$C$4,0)))</f>
        <v>0</v>
      </c>
      <c r="N10" s="36"/>
      <c r="O10" s="37">
        <f>N10*$C$3+IF(N10&gt;4,$C$6,IF(N10&gt;3,$C$5,IF(N10&gt;2,$C$4,0)))</f>
        <v>0</v>
      </c>
      <c r="P10" s="36">
        <f>SUM(F10,H10,J10,L10,N10)</f>
        <v>0</v>
      </c>
      <c r="Q10" s="36">
        <f>SUM(G10,I10,K10,M10,O10)</f>
        <v>0</v>
      </c>
      <c r="R10" s="16"/>
    </row>
    <row r="11" spans="2:18" outlineLevel="1">
      <c r="E11" s="3" t="str">
        <f>PlayerPool!B4</f>
        <v>Virender Sehwag</v>
      </c>
      <c r="F11" s="36">
        <v>1</v>
      </c>
      <c r="G11" s="37">
        <f t="shared" ref="G11:G24" si="0">F11*$C$3+IF(F11&gt;4,$C$6,IF(F11&gt;3,$C$5,IF(F11&gt;2,$C$4,0)))</f>
        <v>25</v>
      </c>
      <c r="H11" s="36"/>
      <c r="I11" s="37">
        <f t="shared" ref="I11:I24" si="1">H11*$C$3+IF(H11&gt;4,$C$6,IF(H11&gt;3,$C$5,IF(H11&gt;2,$C$4,0)))</f>
        <v>0</v>
      </c>
      <c r="J11" s="36"/>
      <c r="K11" s="37">
        <f t="shared" ref="K11:K24" si="2">J11*$C$3+IF(J11&gt;4,$C$6,IF(J11&gt;3,$C$5,IF(J11&gt;2,$C$4,0)))</f>
        <v>0</v>
      </c>
      <c r="L11" s="36"/>
      <c r="M11" s="37">
        <f t="shared" ref="M11:M24" si="3">L11*$C$3+IF(L11&gt;4,$C$6,IF(L11&gt;3,$C$5,IF(L11&gt;2,$C$4,0)))</f>
        <v>0</v>
      </c>
      <c r="N11" s="36"/>
      <c r="O11" s="37">
        <f t="shared" ref="O11:O24" si="4">N11*$C$3+IF(N11&gt;4,$C$6,IF(N11&gt;3,$C$5,IF(N11&gt;2,$C$4,0)))</f>
        <v>0</v>
      </c>
      <c r="P11" s="36">
        <f t="shared" ref="P11:P24" si="5">SUM(F11,H11,J11,L11,N11)</f>
        <v>1</v>
      </c>
      <c r="Q11" s="36">
        <f t="shared" ref="Q11:Q24" si="6">SUM(G11,I11,K11,M11,O11)</f>
        <v>25</v>
      </c>
      <c r="R11" s="16"/>
    </row>
    <row r="12" spans="2:18" outlineLevel="1">
      <c r="E12" s="3" t="str">
        <f>PlayerPool!B5</f>
        <v>Gautam Gambhir</v>
      </c>
      <c r="F12" s="36">
        <v>0</v>
      </c>
      <c r="G12" s="37">
        <f t="shared" si="0"/>
        <v>0</v>
      </c>
      <c r="H12" s="36"/>
      <c r="I12" s="37">
        <f t="shared" si="1"/>
        <v>0</v>
      </c>
      <c r="J12" s="36"/>
      <c r="K12" s="37">
        <f t="shared" si="2"/>
        <v>0</v>
      </c>
      <c r="L12" s="36"/>
      <c r="M12" s="37">
        <f t="shared" si="3"/>
        <v>0</v>
      </c>
      <c r="N12" s="36"/>
      <c r="O12" s="37">
        <f t="shared" si="4"/>
        <v>0</v>
      </c>
      <c r="P12" s="36">
        <f t="shared" si="5"/>
        <v>0</v>
      </c>
      <c r="Q12" s="36">
        <f t="shared" si="6"/>
        <v>0</v>
      </c>
      <c r="R12" s="16"/>
    </row>
    <row r="13" spans="2:18" outlineLevel="1">
      <c r="E13" s="3" t="str">
        <f>PlayerPool!B6</f>
        <v>Viraat Kohli</v>
      </c>
      <c r="F13" s="36">
        <v>0</v>
      </c>
      <c r="G13" s="37">
        <f t="shared" si="0"/>
        <v>0</v>
      </c>
      <c r="H13" s="36"/>
      <c r="I13" s="37">
        <f t="shared" si="1"/>
        <v>0</v>
      </c>
      <c r="J13" s="36"/>
      <c r="K13" s="37">
        <f t="shared" si="2"/>
        <v>0</v>
      </c>
      <c r="L13" s="36"/>
      <c r="M13" s="37">
        <f t="shared" si="3"/>
        <v>0</v>
      </c>
      <c r="N13" s="36"/>
      <c r="O13" s="37">
        <f t="shared" si="4"/>
        <v>0</v>
      </c>
      <c r="P13" s="36">
        <f t="shared" si="5"/>
        <v>0</v>
      </c>
      <c r="Q13" s="36">
        <f t="shared" si="6"/>
        <v>0</v>
      </c>
      <c r="R13" s="16"/>
    </row>
    <row r="14" spans="2:18" outlineLevel="1">
      <c r="E14" s="3" t="str">
        <f>PlayerPool!B7</f>
        <v>Yuvraj Singh</v>
      </c>
      <c r="F14" s="36">
        <v>0</v>
      </c>
      <c r="G14" s="37">
        <f t="shared" si="0"/>
        <v>0</v>
      </c>
      <c r="H14" s="36"/>
      <c r="I14" s="37">
        <f t="shared" si="1"/>
        <v>0</v>
      </c>
      <c r="J14" s="36"/>
      <c r="K14" s="37">
        <f t="shared" si="2"/>
        <v>0</v>
      </c>
      <c r="L14" s="36"/>
      <c r="M14" s="37">
        <f t="shared" si="3"/>
        <v>0</v>
      </c>
      <c r="N14" s="36"/>
      <c r="O14" s="37">
        <f t="shared" si="4"/>
        <v>0</v>
      </c>
      <c r="P14" s="36">
        <f t="shared" si="5"/>
        <v>0</v>
      </c>
      <c r="Q14" s="36">
        <f t="shared" si="6"/>
        <v>0</v>
      </c>
      <c r="R14" s="16"/>
    </row>
    <row r="15" spans="2:18" outlineLevel="1">
      <c r="E15" s="3" t="str">
        <f>PlayerPool!B8</f>
        <v>Suresh Raina</v>
      </c>
      <c r="F15" s="36">
        <v>1</v>
      </c>
      <c r="G15" s="37">
        <f t="shared" si="0"/>
        <v>25</v>
      </c>
      <c r="H15" s="36"/>
      <c r="I15" s="37">
        <f t="shared" si="1"/>
        <v>0</v>
      </c>
      <c r="J15" s="36"/>
      <c r="K15" s="37">
        <f t="shared" si="2"/>
        <v>0</v>
      </c>
      <c r="L15" s="36"/>
      <c r="M15" s="37">
        <f t="shared" si="3"/>
        <v>0</v>
      </c>
      <c r="N15" s="36"/>
      <c r="O15" s="37">
        <f t="shared" si="4"/>
        <v>0</v>
      </c>
      <c r="P15" s="36">
        <f t="shared" si="5"/>
        <v>1</v>
      </c>
      <c r="Q15" s="36">
        <f t="shared" si="6"/>
        <v>25</v>
      </c>
      <c r="R15" s="16"/>
    </row>
    <row r="16" spans="2:18" outlineLevel="1">
      <c r="E16" s="3" t="str">
        <f>PlayerPool!B9</f>
        <v>MS Dhoni</v>
      </c>
      <c r="F16" s="36">
        <v>0</v>
      </c>
      <c r="G16" s="37">
        <f t="shared" si="0"/>
        <v>0</v>
      </c>
      <c r="H16" s="36"/>
      <c r="I16" s="37">
        <f t="shared" si="1"/>
        <v>0</v>
      </c>
      <c r="J16" s="36"/>
      <c r="K16" s="37">
        <f t="shared" si="2"/>
        <v>0</v>
      </c>
      <c r="L16" s="36"/>
      <c r="M16" s="37">
        <f t="shared" si="3"/>
        <v>0</v>
      </c>
      <c r="N16" s="36"/>
      <c r="O16" s="37">
        <f t="shared" si="4"/>
        <v>0</v>
      </c>
      <c r="P16" s="36">
        <f t="shared" si="5"/>
        <v>0</v>
      </c>
      <c r="Q16" s="36">
        <f t="shared" si="6"/>
        <v>0</v>
      </c>
      <c r="R16" s="16"/>
    </row>
    <row r="17" spans="4:18" outlineLevel="1">
      <c r="E17" s="3" t="str">
        <f>PlayerPool!B10</f>
        <v>Yousuf Pathan</v>
      </c>
      <c r="F17" s="36">
        <v>3</v>
      </c>
      <c r="G17" s="37">
        <f t="shared" si="0"/>
        <v>85</v>
      </c>
      <c r="H17" s="36"/>
      <c r="I17" s="37">
        <f t="shared" si="1"/>
        <v>0</v>
      </c>
      <c r="J17" s="36"/>
      <c r="K17" s="37">
        <f t="shared" si="2"/>
        <v>0</v>
      </c>
      <c r="L17" s="36"/>
      <c r="M17" s="37">
        <f t="shared" si="3"/>
        <v>0</v>
      </c>
      <c r="N17" s="36"/>
      <c r="O17" s="37">
        <f t="shared" si="4"/>
        <v>0</v>
      </c>
      <c r="P17" s="36">
        <f t="shared" si="5"/>
        <v>3</v>
      </c>
      <c r="Q17" s="36">
        <f t="shared" si="6"/>
        <v>85</v>
      </c>
      <c r="R17" s="16"/>
    </row>
    <row r="18" spans="4:18" outlineLevel="1">
      <c r="E18" s="3" t="str">
        <f>PlayerPool!B11</f>
        <v>Munaf Patel</v>
      </c>
      <c r="F18" s="36">
        <v>0</v>
      </c>
      <c r="G18" s="37">
        <f t="shared" si="0"/>
        <v>0</v>
      </c>
      <c r="H18" s="36"/>
      <c r="I18" s="37">
        <f t="shared" si="1"/>
        <v>0</v>
      </c>
      <c r="J18" s="36"/>
      <c r="K18" s="37">
        <f t="shared" si="2"/>
        <v>0</v>
      </c>
      <c r="L18" s="36"/>
      <c r="M18" s="37">
        <f t="shared" si="3"/>
        <v>0</v>
      </c>
      <c r="N18" s="36"/>
      <c r="O18" s="37">
        <f t="shared" si="4"/>
        <v>0</v>
      </c>
      <c r="P18" s="36">
        <f t="shared" si="5"/>
        <v>0</v>
      </c>
      <c r="Q18" s="36">
        <f t="shared" si="6"/>
        <v>0</v>
      </c>
      <c r="R18" s="16"/>
    </row>
    <row r="19" spans="4:18" outlineLevel="1">
      <c r="E19" s="3" t="str">
        <f>PlayerPool!B12</f>
        <v>Piyush Chawla</v>
      </c>
      <c r="F19" s="36"/>
      <c r="G19" s="37">
        <f t="shared" si="0"/>
        <v>0</v>
      </c>
      <c r="H19" s="36"/>
      <c r="I19" s="37">
        <f t="shared" si="1"/>
        <v>0</v>
      </c>
      <c r="J19" s="36"/>
      <c r="K19" s="37">
        <f t="shared" si="2"/>
        <v>0</v>
      </c>
      <c r="L19" s="36"/>
      <c r="M19" s="37">
        <f t="shared" si="3"/>
        <v>0</v>
      </c>
      <c r="N19" s="36"/>
      <c r="O19" s="37">
        <f t="shared" si="4"/>
        <v>0</v>
      </c>
      <c r="P19" s="36">
        <f t="shared" si="5"/>
        <v>0</v>
      </c>
      <c r="Q19" s="36">
        <f t="shared" si="6"/>
        <v>0</v>
      </c>
      <c r="R19" s="16"/>
    </row>
    <row r="20" spans="4:18" outlineLevel="1">
      <c r="E20" s="3" t="str">
        <f>PlayerPool!B13</f>
        <v>Ashish Nehra</v>
      </c>
      <c r="F20" s="36"/>
      <c r="G20" s="37">
        <f t="shared" si="0"/>
        <v>0</v>
      </c>
      <c r="H20" s="36"/>
      <c r="I20" s="37">
        <f t="shared" si="1"/>
        <v>0</v>
      </c>
      <c r="J20" s="36"/>
      <c r="K20" s="37">
        <f t="shared" si="2"/>
        <v>0</v>
      </c>
      <c r="L20" s="36"/>
      <c r="M20" s="37">
        <f t="shared" si="3"/>
        <v>0</v>
      </c>
      <c r="N20" s="36"/>
      <c r="O20" s="37">
        <f t="shared" si="4"/>
        <v>0</v>
      </c>
      <c r="P20" s="36">
        <f t="shared" si="5"/>
        <v>0</v>
      </c>
      <c r="Q20" s="36">
        <f t="shared" si="6"/>
        <v>0</v>
      </c>
      <c r="R20" s="16"/>
    </row>
    <row r="21" spans="4:18" outlineLevel="1">
      <c r="E21" s="3" t="str">
        <f>PlayerPool!B14</f>
        <v>Harbhajan Singh</v>
      </c>
      <c r="F21" s="36">
        <v>2</v>
      </c>
      <c r="G21" s="37">
        <f t="shared" si="0"/>
        <v>50</v>
      </c>
      <c r="H21" s="36"/>
      <c r="I21" s="37">
        <f t="shared" si="1"/>
        <v>0</v>
      </c>
      <c r="J21" s="36"/>
      <c r="K21" s="37">
        <f t="shared" si="2"/>
        <v>0</v>
      </c>
      <c r="L21" s="36"/>
      <c r="M21" s="37">
        <f t="shared" si="3"/>
        <v>0</v>
      </c>
      <c r="N21" s="36"/>
      <c r="O21" s="37">
        <f t="shared" si="4"/>
        <v>0</v>
      </c>
      <c r="P21" s="36">
        <f t="shared" si="5"/>
        <v>2</v>
      </c>
      <c r="Q21" s="36">
        <f t="shared" si="6"/>
        <v>50</v>
      </c>
      <c r="R21" s="16"/>
    </row>
    <row r="22" spans="4:18" outlineLevel="1">
      <c r="E22" s="3" t="str">
        <f>PlayerPool!B15</f>
        <v>Zaheer Khan</v>
      </c>
      <c r="F22" s="36">
        <v>3</v>
      </c>
      <c r="G22" s="37">
        <f t="shared" si="0"/>
        <v>85</v>
      </c>
      <c r="H22" s="36"/>
      <c r="I22" s="37">
        <f t="shared" si="1"/>
        <v>0</v>
      </c>
      <c r="J22" s="36"/>
      <c r="K22" s="37">
        <f t="shared" si="2"/>
        <v>0</v>
      </c>
      <c r="L22" s="36"/>
      <c r="M22" s="37">
        <f t="shared" si="3"/>
        <v>0</v>
      </c>
      <c r="N22" s="36"/>
      <c r="O22" s="37">
        <f t="shared" si="4"/>
        <v>0</v>
      </c>
      <c r="P22" s="36">
        <f t="shared" si="5"/>
        <v>3</v>
      </c>
      <c r="Q22" s="36">
        <f t="shared" si="6"/>
        <v>85</v>
      </c>
      <c r="R22" s="16"/>
    </row>
    <row r="23" spans="4:18" outlineLevel="1">
      <c r="E23" s="3" t="str">
        <f>PlayerPool!B16</f>
        <v>Praveen Kumar</v>
      </c>
      <c r="F23" s="36"/>
      <c r="G23" s="37">
        <f t="shared" si="0"/>
        <v>0</v>
      </c>
      <c r="H23" s="36"/>
      <c r="I23" s="37">
        <f t="shared" si="1"/>
        <v>0</v>
      </c>
      <c r="J23" s="36"/>
      <c r="K23" s="37">
        <f t="shared" si="2"/>
        <v>0</v>
      </c>
      <c r="L23" s="36"/>
      <c r="M23" s="37">
        <f t="shared" si="3"/>
        <v>0</v>
      </c>
      <c r="N23" s="36"/>
      <c r="O23" s="37">
        <f t="shared" si="4"/>
        <v>0</v>
      </c>
      <c r="P23" s="36">
        <f t="shared" si="5"/>
        <v>0</v>
      </c>
      <c r="Q23" s="36">
        <f t="shared" si="6"/>
        <v>0</v>
      </c>
      <c r="R23" s="16"/>
    </row>
    <row r="24" spans="4:18" outlineLevel="1">
      <c r="E24" s="3" t="str">
        <f>PlayerPool!B17</f>
        <v>R Ashwin</v>
      </c>
      <c r="F24" s="36"/>
      <c r="G24" s="37">
        <f t="shared" si="0"/>
        <v>0</v>
      </c>
      <c r="H24" s="36"/>
      <c r="I24" s="37">
        <f t="shared" si="1"/>
        <v>0</v>
      </c>
      <c r="J24" s="36"/>
      <c r="K24" s="37">
        <f t="shared" si="2"/>
        <v>0</v>
      </c>
      <c r="L24" s="36"/>
      <c r="M24" s="37">
        <f t="shared" si="3"/>
        <v>0</v>
      </c>
      <c r="N24" s="36"/>
      <c r="O24" s="37">
        <f t="shared" si="4"/>
        <v>0</v>
      </c>
      <c r="P24" s="36">
        <f t="shared" si="5"/>
        <v>0</v>
      </c>
      <c r="Q24" s="36">
        <f t="shared" si="6"/>
        <v>0</v>
      </c>
      <c r="R24" s="16"/>
    </row>
    <row r="25" spans="4:18">
      <c r="D25" s="5" t="s">
        <v>1</v>
      </c>
      <c r="E25" s="3"/>
      <c r="F25" s="36"/>
      <c r="G25" s="37"/>
      <c r="H25" s="36"/>
      <c r="I25" s="37"/>
      <c r="J25" s="36"/>
      <c r="K25" s="37"/>
      <c r="L25" s="36"/>
      <c r="M25" s="37"/>
      <c r="N25" s="36"/>
      <c r="O25" s="37"/>
      <c r="P25" s="36"/>
      <c r="Q25" s="36"/>
      <c r="R25" s="16"/>
    </row>
    <row r="26" spans="4:18" outlineLevel="1">
      <c r="E26" s="3" t="str">
        <f>PlayerPool!B18</f>
        <v>H Amla</v>
      </c>
      <c r="F26" s="36">
        <v>0</v>
      </c>
      <c r="G26" s="37">
        <f t="shared" ref="G26:G40" si="7">F26*$C$3+IF(F26&gt;4,$C$6,IF(F26&gt;3,$C$5,IF(F26&gt;2,$C$4,0)))</f>
        <v>0</v>
      </c>
      <c r="H26" s="36"/>
      <c r="I26" s="37">
        <f t="shared" ref="I26:I40" si="8">H26*$C$3+IF(H26&gt;4,$C$6,IF(H26&gt;3,$C$5,IF(H26&gt;2,$C$4,0)))</f>
        <v>0</v>
      </c>
      <c r="J26" s="36"/>
      <c r="K26" s="37">
        <f t="shared" ref="K26:K40" si="9">J26*$C$3+IF(J26&gt;4,$C$6,IF(J26&gt;3,$C$5,IF(J26&gt;2,$C$4,0)))</f>
        <v>0</v>
      </c>
      <c r="L26" s="36"/>
      <c r="M26" s="37">
        <f t="shared" ref="M26:M40" si="10">L26*$C$3+IF(L26&gt;4,$C$6,IF(L26&gt;3,$C$5,IF(L26&gt;2,$C$4,0)))</f>
        <v>0</v>
      </c>
      <c r="N26" s="36"/>
      <c r="O26" s="37">
        <f>N26*$C$3+IF(N26&gt;4,$C$6,IF(N26&gt;3,$C$5,IF(N26&gt;2,$C$4,0)))</f>
        <v>0</v>
      </c>
      <c r="P26" s="36">
        <f t="shared" ref="P26:Q40" si="11">SUM(F26,H26,J26,L26,N26)</f>
        <v>0</v>
      </c>
      <c r="Q26" s="36">
        <f t="shared" si="11"/>
        <v>0</v>
      </c>
      <c r="R26" s="16"/>
    </row>
    <row r="27" spans="4:18" outlineLevel="1">
      <c r="E27" s="3" t="str">
        <f>PlayerPool!B19</f>
        <v>G Smith</v>
      </c>
      <c r="F27" s="36">
        <v>0</v>
      </c>
      <c r="G27" s="37">
        <f t="shared" si="7"/>
        <v>0</v>
      </c>
      <c r="H27" s="36"/>
      <c r="I27" s="37">
        <f t="shared" si="8"/>
        <v>0</v>
      </c>
      <c r="J27" s="36"/>
      <c r="K27" s="37">
        <f t="shared" si="9"/>
        <v>0</v>
      </c>
      <c r="L27" s="36"/>
      <c r="M27" s="37">
        <f t="shared" si="10"/>
        <v>0</v>
      </c>
      <c r="N27" s="36"/>
      <c r="O27" s="37">
        <f t="shared" ref="O27:O40" si="12">N27*$C$3+IF(N27&gt;4,$C$6,IF(N27&gt;3,$C$5,IF(N27&gt;2,$C$4,0)))</f>
        <v>0</v>
      </c>
      <c r="P27" s="36">
        <f t="shared" si="11"/>
        <v>0</v>
      </c>
      <c r="Q27" s="36">
        <f t="shared" si="11"/>
        <v>0</v>
      </c>
      <c r="R27" s="16"/>
    </row>
    <row r="28" spans="4:18" outlineLevel="1">
      <c r="E28" s="3" t="str">
        <f>PlayerPool!B20</f>
        <v>J Kallis</v>
      </c>
      <c r="F28" s="36">
        <v>1</v>
      </c>
      <c r="G28" s="37">
        <f t="shared" si="7"/>
        <v>25</v>
      </c>
      <c r="H28" s="36"/>
      <c r="I28" s="37">
        <f t="shared" si="8"/>
        <v>0</v>
      </c>
      <c r="J28" s="36"/>
      <c r="K28" s="37">
        <f t="shared" si="9"/>
        <v>0</v>
      </c>
      <c r="L28" s="36"/>
      <c r="M28" s="37">
        <f t="shared" si="10"/>
        <v>0</v>
      </c>
      <c r="N28" s="36"/>
      <c r="O28" s="37">
        <f t="shared" si="12"/>
        <v>0</v>
      </c>
      <c r="P28" s="36">
        <f t="shared" si="11"/>
        <v>1</v>
      </c>
      <c r="Q28" s="36">
        <f t="shared" si="11"/>
        <v>25</v>
      </c>
      <c r="R28" s="16"/>
    </row>
    <row r="29" spans="4:18" outlineLevel="1">
      <c r="E29" s="3" t="str">
        <f>PlayerPool!B21</f>
        <v>AB De Villiers</v>
      </c>
      <c r="F29" s="36">
        <v>0</v>
      </c>
      <c r="G29" s="37">
        <f t="shared" si="7"/>
        <v>0</v>
      </c>
      <c r="H29" s="36"/>
      <c r="I29" s="37">
        <f t="shared" si="8"/>
        <v>0</v>
      </c>
      <c r="J29" s="36"/>
      <c r="K29" s="37">
        <f t="shared" si="9"/>
        <v>0</v>
      </c>
      <c r="L29" s="36"/>
      <c r="M29" s="37">
        <f t="shared" si="10"/>
        <v>0</v>
      </c>
      <c r="N29" s="36"/>
      <c r="O29" s="37">
        <f t="shared" si="12"/>
        <v>0</v>
      </c>
      <c r="P29" s="36">
        <f t="shared" si="11"/>
        <v>0</v>
      </c>
      <c r="Q29" s="36">
        <f t="shared" si="11"/>
        <v>0</v>
      </c>
      <c r="R29" s="16"/>
    </row>
    <row r="30" spans="4:18" outlineLevel="1">
      <c r="E30" s="3" t="str">
        <f>PlayerPool!B22</f>
        <v>Faf du plessis</v>
      </c>
      <c r="F30" s="36">
        <v>1</v>
      </c>
      <c r="G30" s="37">
        <f t="shared" si="7"/>
        <v>25</v>
      </c>
      <c r="H30" s="36"/>
      <c r="I30" s="37">
        <f t="shared" si="8"/>
        <v>0</v>
      </c>
      <c r="J30" s="36"/>
      <c r="K30" s="37">
        <f t="shared" si="9"/>
        <v>0</v>
      </c>
      <c r="L30" s="36"/>
      <c r="M30" s="37">
        <f t="shared" si="10"/>
        <v>0</v>
      </c>
      <c r="N30" s="36"/>
      <c r="O30" s="37">
        <f t="shared" si="12"/>
        <v>0</v>
      </c>
      <c r="P30" s="36">
        <f t="shared" si="11"/>
        <v>1</v>
      </c>
      <c r="Q30" s="36">
        <f t="shared" si="11"/>
        <v>25</v>
      </c>
      <c r="R30" s="16"/>
    </row>
    <row r="31" spans="4:18" outlineLevel="1">
      <c r="E31" s="3" t="str">
        <f>PlayerPool!B23</f>
        <v>Imran Tahir</v>
      </c>
      <c r="F31" s="36"/>
      <c r="G31" s="37">
        <f t="shared" si="7"/>
        <v>0</v>
      </c>
      <c r="H31" s="36"/>
      <c r="I31" s="37">
        <f t="shared" si="8"/>
        <v>0</v>
      </c>
      <c r="J31" s="36"/>
      <c r="K31" s="37">
        <f t="shared" si="9"/>
        <v>0</v>
      </c>
      <c r="L31" s="36"/>
      <c r="M31" s="37">
        <f t="shared" si="10"/>
        <v>0</v>
      </c>
      <c r="N31" s="36"/>
      <c r="O31" s="37">
        <f t="shared" si="12"/>
        <v>0</v>
      </c>
      <c r="P31" s="36">
        <f t="shared" si="11"/>
        <v>0</v>
      </c>
      <c r="Q31" s="36">
        <f t="shared" si="11"/>
        <v>0</v>
      </c>
      <c r="R31" s="16"/>
    </row>
    <row r="32" spans="4:18" outlineLevel="1">
      <c r="E32" s="3" t="str">
        <f>PlayerPool!B24</f>
        <v>Colin Ingram</v>
      </c>
      <c r="F32" s="36"/>
      <c r="G32" s="37">
        <f t="shared" si="7"/>
        <v>0</v>
      </c>
      <c r="H32" s="36"/>
      <c r="I32" s="37">
        <f t="shared" si="8"/>
        <v>0</v>
      </c>
      <c r="J32" s="36"/>
      <c r="K32" s="37">
        <f t="shared" si="9"/>
        <v>0</v>
      </c>
      <c r="L32" s="36"/>
      <c r="M32" s="37">
        <f t="shared" si="10"/>
        <v>0</v>
      </c>
      <c r="N32" s="36"/>
      <c r="O32" s="37">
        <f t="shared" si="12"/>
        <v>0</v>
      </c>
      <c r="P32" s="36">
        <f t="shared" si="11"/>
        <v>0</v>
      </c>
      <c r="Q32" s="36">
        <f t="shared" si="11"/>
        <v>0</v>
      </c>
      <c r="R32" s="16"/>
    </row>
    <row r="33" spans="5:18" outlineLevel="1">
      <c r="E33" s="3" t="str">
        <f>PlayerPool!B25</f>
        <v>JP Duminy</v>
      </c>
      <c r="F33" s="36">
        <v>0</v>
      </c>
      <c r="G33" s="37">
        <f t="shared" si="7"/>
        <v>0</v>
      </c>
      <c r="H33" s="36"/>
      <c r="I33" s="37">
        <f t="shared" si="8"/>
        <v>0</v>
      </c>
      <c r="J33" s="36"/>
      <c r="K33" s="37">
        <f t="shared" si="9"/>
        <v>0</v>
      </c>
      <c r="L33" s="36"/>
      <c r="M33" s="37">
        <f t="shared" si="10"/>
        <v>0</v>
      </c>
      <c r="N33" s="36"/>
      <c r="O33" s="37">
        <f t="shared" si="12"/>
        <v>0</v>
      </c>
      <c r="P33" s="36">
        <f t="shared" si="11"/>
        <v>0</v>
      </c>
      <c r="Q33" s="36">
        <f t="shared" si="11"/>
        <v>0</v>
      </c>
      <c r="R33" s="16"/>
    </row>
    <row r="34" spans="5:18" outlineLevel="1">
      <c r="E34" s="3" t="str">
        <f>PlayerPool!B26</f>
        <v>R Peterson</v>
      </c>
      <c r="F34" s="36"/>
      <c r="G34" s="37">
        <f t="shared" si="7"/>
        <v>0</v>
      </c>
      <c r="H34" s="36"/>
      <c r="I34" s="37">
        <f t="shared" si="8"/>
        <v>0</v>
      </c>
      <c r="J34" s="36"/>
      <c r="K34" s="37">
        <f t="shared" si="9"/>
        <v>0</v>
      </c>
      <c r="L34" s="36"/>
      <c r="M34" s="37">
        <f t="shared" si="10"/>
        <v>0</v>
      </c>
      <c r="N34" s="36"/>
      <c r="O34" s="37">
        <f t="shared" si="12"/>
        <v>0</v>
      </c>
      <c r="P34" s="36">
        <f t="shared" si="11"/>
        <v>0</v>
      </c>
      <c r="Q34" s="36">
        <f t="shared" si="11"/>
        <v>0</v>
      </c>
      <c r="R34" s="16"/>
    </row>
    <row r="35" spans="5:18" outlineLevel="1">
      <c r="E35" s="3" t="str">
        <f>PlayerPool!B27</f>
        <v>T Tsotsobe</v>
      </c>
      <c r="F35" s="36">
        <v>0</v>
      </c>
      <c r="G35" s="37">
        <f t="shared" si="7"/>
        <v>0</v>
      </c>
      <c r="H35" s="36"/>
      <c r="I35" s="37">
        <f t="shared" si="8"/>
        <v>0</v>
      </c>
      <c r="J35" s="36"/>
      <c r="K35" s="37">
        <f t="shared" si="9"/>
        <v>0</v>
      </c>
      <c r="L35" s="36"/>
      <c r="M35" s="37">
        <f t="shared" si="10"/>
        <v>0</v>
      </c>
      <c r="N35" s="36"/>
      <c r="O35" s="37">
        <f t="shared" si="12"/>
        <v>0</v>
      </c>
      <c r="P35" s="36">
        <f t="shared" si="11"/>
        <v>0</v>
      </c>
      <c r="Q35" s="36">
        <f t="shared" si="11"/>
        <v>0</v>
      </c>
      <c r="R35" s="16"/>
    </row>
    <row r="36" spans="5:18" outlineLevel="1">
      <c r="E36" s="3" t="str">
        <f>PlayerPool!B28</f>
        <v>Morne Van Wyk</v>
      </c>
      <c r="F36" s="36"/>
      <c r="G36" s="37">
        <f t="shared" si="7"/>
        <v>0</v>
      </c>
      <c r="H36" s="36"/>
      <c r="I36" s="37">
        <f t="shared" si="8"/>
        <v>0</v>
      </c>
      <c r="J36" s="36"/>
      <c r="K36" s="37">
        <f t="shared" si="9"/>
        <v>0</v>
      </c>
      <c r="L36" s="36"/>
      <c r="M36" s="37">
        <f t="shared" si="10"/>
        <v>0</v>
      </c>
      <c r="N36" s="36"/>
      <c r="O36" s="37">
        <f t="shared" si="12"/>
        <v>0</v>
      </c>
      <c r="P36" s="36">
        <f t="shared" si="11"/>
        <v>0</v>
      </c>
      <c r="Q36" s="36">
        <f t="shared" si="11"/>
        <v>0</v>
      </c>
      <c r="R36" s="16"/>
    </row>
    <row r="37" spans="5:18" outlineLevel="1">
      <c r="E37" s="3" t="str">
        <f>PlayerPool!B29</f>
        <v>J Botha</v>
      </c>
      <c r="F37" s="36">
        <v>0</v>
      </c>
      <c r="G37" s="37">
        <f t="shared" si="7"/>
        <v>0</v>
      </c>
      <c r="H37" s="36"/>
      <c r="I37" s="37">
        <f t="shared" si="8"/>
        <v>0</v>
      </c>
      <c r="J37" s="36"/>
      <c r="K37" s="37">
        <f t="shared" si="9"/>
        <v>0</v>
      </c>
      <c r="L37" s="36"/>
      <c r="M37" s="37">
        <f t="shared" si="10"/>
        <v>0</v>
      </c>
      <c r="N37" s="36"/>
      <c r="O37" s="37">
        <f t="shared" si="12"/>
        <v>0</v>
      </c>
      <c r="P37" s="36">
        <f t="shared" si="11"/>
        <v>0</v>
      </c>
      <c r="Q37" s="36">
        <f t="shared" si="11"/>
        <v>0</v>
      </c>
      <c r="R37" s="16"/>
    </row>
    <row r="38" spans="5:18" outlineLevel="1">
      <c r="E38" s="3" t="str">
        <f>PlayerPool!B30</f>
        <v>Dale Steyn</v>
      </c>
      <c r="F38" s="36">
        <v>3</v>
      </c>
      <c r="G38" s="37">
        <f t="shared" si="7"/>
        <v>85</v>
      </c>
      <c r="H38" s="36"/>
      <c r="I38" s="37">
        <f t="shared" si="8"/>
        <v>0</v>
      </c>
      <c r="J38" s="36"/>
      <c r="K38" s="37">
        <f t="shared" si="9"/>
        <v>0</v>
      </c>
      <c r="L38" s="36"/>
      <c r="M38" s="37">
        <f t="shared" si="10"/>
        <v>0</v>
      </c>
      <c r="N38" s="36"/>
      <c r="O38" s="37">
        <f t="shared" si="12"/>
        <v>0</v>
      </c>
      <c r="P38" s="36">
        <f t="shared" si="11"/>
        <v>3</v>
      </c>
      <c r="Q38" s="36">
        <f t="shared" si="11"/>
        <v>85</v>
      </c>
      <c r="R38" s="16"/>
    </row>
    <row r="39" spans="5:18" outlineLevel="1">
      <c r="E39" s="3" t="str">
        <f>PlayerPool!B31</f>
        <v>Morne Morkel</v>
      </c>
      <c r="F39" s="36">
        <v>3</v>
      </c>
      <c r="G39" s="37">
        <f t="shared" si="7"/>
        <v>85</v>
      </c>
      <c r="H39" s="36"/>
      <c r="I39" s="37">
        <f t="shared" si="8"/>
        <v>0</v>
      </c>
      <c r="J39" s="36"/>
      <c r="K39" s="37">
        <f t="shared" si="9"/>
        <v>0</v>
      </c>
      <c r="L39" s="36"/>
      <c r="M39" s="37">
        <f t="shared" si="10"/>
        <v>0</v>
      </c>
      <c r="N39" s="36"/>
      <c r="O39" s="37">
        <f t="shared" si="12"/>
        <v>0</v>
      </c>
      <c r="P39" s="36">
        <f t="shared" si="11"/>
        <v>3</v>
      </c>
      <c r="Q39" s="36">
        <f t="shared" si="11"/>
        <v>85</v>
      </c>
      <c r="R39" s="16"/>
    </row>
    <row r="40" spans="5:18" outlineLevel="1">
      <c r="E40" s="3" t="str">
        <f>PlayerPool!B32</f>
        <v>T Parnell</v>
      </c>
      <c r="F40" s="36">
        <v>2</v>
      </c>
      <c r="G40" s="37">
        <f t="shared" si="7"/>
        <v>50</v>
      </c>
      <c r="H40" s="36"/>
      <c r="I40" s="37">
        <f t="shared" si="8"/>
        <v>0</v>
      </c>
      <c r="J40" s="36"/>
      <c r="K40" s="37">
        <f t="shared" si="9"/>
        <v>0</v>
      </c>
      <c r="L40" s="36"/>
      <c r="M40" s="37">
        <f t="shared" si="10"/>
        <v>0</v>
      </c>
      <c r="N40" s="36"/>
      <c r="O40" s="37">
        <f t="shared" si="12"/>
        <v>0</v>
      </c>
      <c r="P40" s="36">
        <f t="shared" si="11"/>
        <v>2</v>
      </c>
      <c r="Q40" s="36">
        <f t="shared" si="11"/>
        <v>50</v>
      </c>
      <c r="R40" s="16"/>
    </row>
  </sheetData>
  <mergeCells count="7">
    <mergeCell ref="N7:O7"/>
    <mergeCell ref="B2:D2"/>
    <mergeCell ref="F7:G7"/>
    <mergeCell ref="H7:I7"/>
    <mergeCell ref="J7:K7"/>
    <mergeCell ref="L7:M7"/>
    <mergeCell ref="F6:O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B1:Q40"/>
  <sheetViews>
    <sheetView workbookViewId="0">
      <pane xSplit="5" ySplit="8" topLeftCell="F9" activePane="bottomRight" state="frozen"/>
      <selection pane="topRight" activeCell="F1" sqref="F1"/>
      <selection pane="bottomLeft" activeCell="A6" sqref="A6"/>
      <selection pane="bottomRight" activeCell="D25" sqref="D25"/>
    </sheetView>
  </sheetViews>
  <sheetFormatPr defaultRowHeight="15" outlineLevelRow="1"/>
  <cols>
    <col min="1" max="1" width="4.5703125" customWidth="1"/>
    <col min="2" max="2" width="12" bestFit="1" customWidth="1"/>
    <col min="3" max="3" width="7.42578125" customWidth="1"/>
    <col min="4" max="4" width="11.7109375" bestFit="1" customWidth="1"/>
    <col min="5" max="5" width="16.28515625" bestFit="1" customWidth="1"/>
    <col min="6" max="6" width="10.5703125" bestFit="1" customWidth="1"/>
    <col min="7" max="7" width="5.7109375" bestFit="1" customWidth="1"/>
    <col min="8" max="8" width="10.5703125" bestFit="1" customWidth="1"/>
    <col min="9" max="9" width="5.7109375" bestFit="1" customWidth="1"/>
    <col min="10" max="10" width="10.5703125" bestFit="1" customWidth="1"/>
    <col min="11" max="11" width="5.7109375" bestFit="1" customWidth="1"/>
    <col min="12" max="12" width="10.5703125" bestFit="1" customWidth="1"/>
    <col min="13" max="13" width="5.7109375" bestFit="1" customWidth="1"/>
    <col min="14" max="14" width="10.5703125" bestFit="1" customWidth="1"/>
    <col min="15" max="15" width="5.7109375" bestFit="1" customWidth="1"/>
    <col min="16" max="16" width="15.5703125" bestFit="1" customWidth="1"/>
    <col min="17" max="17" width="11.42578125" bestFit="1" customWidth="1"/>
    <col min="18" max="18" width="6.7109375" customWidth="1"/>
    <col min="19" max="19" width="12" bestFit="1" customWidth="1"/>
    <col min="20" max="20" width="3" bestFit="1" customWidth="1"/>
    <col min="21" max="21" width="6.5703125" bestFit="1" customWidth="1"/>
  </cols>
  <sheetData>
    <row r="1" spans="2:17" ht="15.75" thickBot="1"/>
    <row r="2" spans="2:17">
      <c r="B2" s="126" t="s">
        <v>17</v>
      </c>
      <c r="C2" s="127"/>
      <c r="D2" s="128"/>
    </row>
    <row r="3" spans="2:17" ht="15.75" thickBot="1">
      <c r="B3" s="13" t="s">
        <v>25</v>
      </c>
      <c r="C3" s="46">
        <v>10</v>
      </c>
      <c r="D3" s="15" t="s">
        <v>21</v>
      </c>
    </row>
    <row r="6" spans="2:17">
      <c r="F6" s="123" t="s">
        <v>2</v>
      </c>
      <c r="G6" s="123"/>
      <c r="H6" s="123"/>
      <c r="I6" s="123"/>
      <c r="J6" s="123"/>
      <c r="K6" s="123"/>
      <c r="L6" s="123"/>
      <c r="M6" s="123"/>
      <c r="N6" s="123"/>
      <c r="O6" s="123"/>
    </row>
    <row r="7" spans="2:17">
      <c r="F7" s="124">
        <v>40562</v>
      </c>
      <c r="G7" s="125"/>
      <c r="H7" s="124">
        <v>40563</v>
      </c>
      <c r="I7" s="125"/>
      <c r="J7" s="124">
        <v>40564</v>
      </c>
      <c r="K7" s="125"/>
      <c r="L7" s="124">
        <v>40565</v>
      </c>
      <c r="M7" s="125"/>
      <c r="N7" s="124">
        <v>40566</v>
      </c>
      <c r="O7" s="125"/>
    </row>
    <row r="8" spans="2:17">
      <c r="F8" s="8" t="s">
        <v>23</v>
      </c>
      <c r="G8" s="8" t="s">
        <v>7</v>
      </c>
      <c r="H8" s="8" t="s">
        <v>23</v>
      </c>
      <c r="I8" s="8" t="s">
        <v>7</v>
      </c>
      <c r="J8" s="8" t="s">
        <v>23</v>
      </c>
      <c r="K8" s="8" t="s">
        <v>7</v>
      </c>
      <c r="L8" s="8" t="s">
        <v>23</v>
      </c>
      <c r="M8" s="8" t="s">
        <v>7</v>
      </c>
      <c r="N8" s="8" t="s">
        <v>23</v>
      </c>
      <c r="O8" s="8" t="s">
        <v>7</v>
      </c>
      <c r="P8" s="9" t="s">
        <v>24</v>
      </c>
      <c r="Q8" s="10" t="s">
        <v>3</v>
      </c>
    </row>
    <row r="9" spans="2:17">
      <c r="D9" s="5" t="s">
        <v>0</v>
      </c>
      <c r="E9" s="47"/>
      <c r="F9" s="48"/>
      <c r="G9" s="48"/>
      <c r="H9" s="48"/>
      <c r="I9" s="48"/>
      <c r="J9" s="48"/>
      <c r="K9" s="48"/>
      <c r="L9" s="48"/>
      <c r="M9" s="48"/>
      <c r="N9" s="48"/>
      <c r="O9" s="48"/>
      <c r="P9" s="49"/>
      <c r="Q9" s="48"/>
    </row>
    <row r="10" spans="2:17" outlineLevel="1">
      <c r="E10" s="3" t="str">
        <f>PlayerPool!B3</f>
        <v>Sachin Tendulkar</v>
      </c>
      <c r="F10" s="38">
        <v>1</v>
      </c>
      <c r="G10" s="39">
        <f t="shared" ref="G10:G24" si="0">F10*$C$3</f>
        <v>10</v>
      </c>
      <c r="H10" s="38"/>
      <c r="I10" s="39">
        <f t="shared" ref="I10:I24" si="1">H10*$C$3</f>
        <v>0</v>
      </c>
      <c r="J10" s="38"/>
      <c r="K10" s="39">
        <f t="shared" ref="K10:K24" si="2">J10*$C$3</f>
        <v>0</v>
      </c>
      <c r="L10" s="38"/>
      <c r="M10" s="39">
        <f t="shared" ref="M10:M24" si="3">L10*$C$3</f>
        <v>0</v>
      </c>
      <c r="N10" s="38"/>
      <c r="O10" s="39">
        <f t="shared" ref="O10:O24" si="4">N10*$C$3</f>
        <v>0</v>
      </c>
      <c r="P10" s="38">
        <f>SUM(F10,H10,J10,L10,N10)</f>
        <v>1</v>
      </c>
      <c r="Q10" s="38">
        <f>SUM(G10,I10,K10,M10,O10)</f>
        <v>10</v>
      </c>
    </row>
    <row r="11" spans="2:17" outlineLevel="1">
      <c r="E11" s="3" t="str">
        <f>PlayerPool!B4</f>
        <v>Virender Sehwag</v>
      </c>
      <c r="F11" s="38">
        <v>0</v>
      </c>
      <c r="G11" s="39">
        <f t="shared" si="0"/>
        <v>0</v>
      </c>
      <c r="H11" s="38"/>
      <c r="I11" s="39">
        <f t="shared" si="1"/>
        <v>0</v>
      </c>
      <c r="J11" s="38"/>
      <c r="K11" s="39">
        <f t="shared" si="2"/>
        <v>0</v>
      </c>
      <c r="L11" s="38"/>
      <c r="M11" s="39">
        <f t="shared" si="3"/>
        <v>0</v>
      </c>
      <c r="N11" s="38"/>
      <c r="O11" s="39">
        <f t="shared" si="4"/>
        <v>0</v>
      </c>
      <c r="P11" s="38">
        <f t="shared" ref="P11:Q40" si="5">SUM(F11,H11,J11,L11,N11)</f>
        <v>0</v>
      </c>
      <c r="Q11" s="38">
        <f t="shared" si="5"/>
        <v>0</v>
      </c>
    </row>
    <row r="12" spans="2:17" outlineLevel="1">
      <c r="E12" s="3" t="str">
        <f>PlayerPool!B5</f>
        <v>Gautam Gambhir</v>
      </c>
      <c r="F12" s="38">
        <v>1</v>
      </c>
      <c r="G12" s="39">
        <f t="shared" si="0"/>
        <v>10</v>
      </c>
      <c r="H12" s="38"/>
      <c r="I12" s="39">
        <f t="shared" si="1"/>
        <v>0</v>
      </c>
      <c r="J12" s="38"/>
      <c r="K12" s="39">
        <f t="shared" si="2"/>
        <v>0</v>
      </c>
      <c r="L12" s="38"/>
      <c r="M12" s="39">
        <f t="shared" si="3"/>
        <v>0</v>
      </c>
      <c r="N12" s="38"/>
      <c r="O12" s="39">
        <f t="shared" si="4"/>
        <v>0</v>
      </c>
      <c r="P12" s="38">
        <f t="shared" si="5"/>
        <v>1</v>
      </c>
      <c r="Q12" s="38">
        <f t="shared" si="5"/>
        <v>10</v>
      </c>
    </row>
    <row r="13" spans="2:17" outlineLevel="1">
      <c r="E13" s="3" t="str">
        <f>PlayerPool!B6</f>
        <v>Viraat Kohli</v>
      </c>
      <c r="F13" s="38">
        <v>2</v>
      </c>
      <c r="G13" s="39">
        <f t="shared" si="0"/>
        <v>20</v>
      </c>
      <c r="H13" s="38"/>
      <c r="I13" s="39">
        <f t="shared" si="1"/>
        <v>0</v>
      </c>
      <c r="J13" s="38"/>
      <c r="K13" s="39">
        <f t="shared" si="2"/>
        <v>0</v>
      </c>
      <c r="L13" s="38"/>
      <c r="M13" s="39">
        <f t="shared" si="3"/>
        <v>0</v>
      </c>
      <c r="N13" s="38"/>
      <c r="O13" s="39">
        <f t="shared" si="4"/>
        <v>0</v>
      </c>
      <c r="P13" s="38">
        <f t="shared" si="5"/>
        <v>2</v>
      </c>
      <c r="Q13" s="38">
        <f t="shared" si="5"/>
        <v>20</v>
      </c>
    </row>
    <row r="14" spans="2:17" outlineLevel="1">
      <c r="E14" s="3" t="str">
        <f>PlayerPool!B7</f>
        <v>Yuvraj Singh</v>
      </c>
      <c r="F14" s="38">
        <v>0</v>
      </c>
      <c r="G14" s="39">
        <f t="shared" si="0"/>
        <v>0</v>
      </c>
      <c r="H14" s="38"/>
      <c r="I14" s="39">
        <f t="shared" si="1"/>
        <v>0</v>
      </c>
      <c r="J14" s="38"/>
      <c r="K14" s="39">
        <f t="shared" si="2"/>
        <v>0</v>
      </c>
      <c r="L14" s="38"/>
      <c r="M14" s="39">
        <f t="shared" si="3"/>
        <v>0</v>
      </c>
      <c r="N14" s="38"/>
      <c r="O14" s="39">
        <f t="shared" si="4"/>
        <v>0</v>
      </c>
      <c r="P14" s="38">
        <f t="shared" si="5"/>
        <v>0</v>
      </c>
      <c r="Q14" s="38">
        <f t="shared" si="5"/>
        <v>0</v>
      </c>
    </row>
    <row r="15" spans="2:17" outlineLevel="1">
      <c r="E15" s="3" t="str">
        <f>PlayerPool!B8</f>
        <v>Suresh Raina</v>
      </c>
      <c r="F15" s="38">
        <v>2</v>
      </c>
      <c r="G15" s="39">
        <f t="shared" si="0"/>
        <v>20</v>
      </c>
      <c r="H15" s="38"/>
      <c r="I15" s="39">
        <f t="shared" si="1"/>
        <v>0</v>
      </c>
      <c r="J15" s="38"/>
      <c r="K15" s="39">
        <f t="shared" si="2"/>
        <v>0</v>
      </c>
      <c r="L15" s="38"/>
      <c r="M15" s="39">
        <f t="shared" si="3"/>
        <v>0</v>
      </c>
      <c r="N15" s="38"/>
      <c r="O15" s="39">
        <f t="shared" si="4"/>
        <v>0</v>
      </c>
      <c r="P15" s="38">
        <f t="shared" si="5"/>
        <v>2</v>
      </c>
      <c r="Q15" s="38">
        <f t="shared" si="5"/>
        <v>20</v>
      </c>
    </row>
    <row r="16" spans="2:17" outlineLevel="1">
      <c r="E16" s="3" t="str">
        <f>PlayerPool!B9</f>
        <v>MS Dhoni</v>
      </c>
      <c r="F16" s="38">
        <v>3</v>
      </c>
      <c r="G16" s="39">
        <f t="shared" si="0"/>
        <v>30</v>
      </c>
      <c r="H16" s="38"/>
      <c r="I16" s="39">
        <f t="shared" si="1"/>
        <v>0</v>
      </c>
      <c r="J16" s="38"/>
      <c r="K16" s="39">
        <f t="shared" si="2"/>
        <v>0</v>
      </c>
      <c r="L16" s="38"/>
      <c r="M16" s="39">
        <f t="shared" si="3"/>
        <v>0</v>
      </c>
      <c r="N16" s="38"/>
      <c r="O16" s="39">
        <f t="shared" si="4"/>
        <v>0</v>
      </c>
      <c r="P16" s="38">
        <f t="shared" si="5"/>
        <v>3</v>
      </c>
      <c r="Q16" s="38">
        <f t="shared" si="5"/>
        <v>30</v>
      </c>
    </row>
    <row r="17" spans="4:17" outlineLevel="1">
      <c r="E17" s="3" t="str">
        <f>PlayerPool!B10</f>
        <v>Yousuf Pathan</v>
      </c>
      <c r="F17" s="38">
        <v>0</v>
      </c>
      <c r="G17" s="39">
        <f t="shared" si="0"/>
        <v>0</v>
      </c>
      <c r="H17" s="38"/>
      <c r="I17" s="39">
        <f t="shared" si="1"/>
        <v>0</v>
      </c>
      <c r="J17" s="38"/>
      <c r="K17" s="39">
        <f t="shared" si="2"/>
        <v>0</v>
      </c>
      <c r="L17" s="38"/>
      <c r="M17" s="39">
        <f t="shared" si="3"/>
        <v>0</v>
      </c>
      <c r="N17" s="38"/>
      <c r="O17" s="39">
        <f t="shared" si="4"/>
        <v>0</v>
      </c>
      <c r="P17" s="38">
        <f t="shared" si="5"/>
        <v>0</v>
      </c>
      <c r="Q17" s="38">
        <f t="shared" si="5"/>
        <v>0</v>
      </c>
    </row>
    <row r="18" spans="4:17" outlineLevel="1">
      <c r="E18" s="3" t="str">
        <f>PlayerPool!B11</f>
        <v>Munaf Patel</v>
      </c>
      <c r="F18" s="38">
        <v>1</v>
      </c>
      <c r="G18" s="39">
        <f t="shared" si="0"/>
        <v>10</v>
      </c>
      <c r="H18" s="38"/>
      <c r="I18" s="39">
        <f t="shared" si="1"/>
        <v>0</v>
      </c>
      <c r="J18" s="38"/>
      <c r="K18" s="39">
        <f t="shared" si="2"/>
        <v>0</v>
      </c>
      <c r="L18" s="38"/>
      <c r="M18" s="39">
        <f t="shared" si="3"/>
        <v>0</v>
      </c>
      <c r="N18" s="38"/>
      <c r="O18" s="39">
        <f t="shared" si="4"/>
        <v>0</v>
      </c>
      <c r="P18" s="38">
        <f t="shared" si="5"/>
        <v>1</v>
      </c>
      <c r="Q18" s="38">
        <f t="shared" si="5"/>
        <v>10</v>
      </c>
    </row>
    <row r="19" spans="4:17" outlineLevel="1">
      <c r="E19" s="3" t="str">
        <f>PlayerPool!B12</f>
        <v>Piyush Chawla</v>
      </c>
      <c r="F19" s="38"/>
      <c r="G19" s="39">
        <f t="shared" si="0"/>
        <v>0</v>
      </c>
      <c r="H19" s="38"/>
      <c r="I19" s="39">
        <f t="shared" si="1"/>
        <v>0</v>
      </c>
      <c r="J19" s="38"/>
      <c r="K19" s="39">
        <f t="shared" si="2"/>
        <v>0</v>
      </c>
      <c r="L19" s="38"/>
      <c r="M19" s="39">
        <f t="shared" si="3"/>
        <v>0</v>
      </c>
      <c r="N19" s="38"/>
      <c r="O19" s="39">
        <f t="shared" si="4"/>
        <v>0</v>
      </c>
      <c r="P19" s="38">
        <f t="shared" si="5"/>
        <v>0</v>
      </c>
      <c r="Q19" s="38">
        <f t="shared" si="5"/>
        <v>0</v>
      </c>
    </row>
    <row r="20" spans="4:17" outlineLevel="1">
      <c r="E20" s="3" t="str">
        <f>PlayerPool!B13</f>
        <v>Ashish Nehra</v>
      </c>
      <c r="F20" s="38"/>
      <c r="G20" s="39">
        <f t="shared" si="0"/>
        <v>0</v>
      </c>
      <c r="H20" s="38"/>
      <c r="I20" s="39">
        <f t="shared" si="1"/>
        <v>0</v>
      </c>
      <c r="J20" s="38"/>
      <c r="K20" s="39">
        <f t="shared" si="2"/>
        <v>0</v>
      </c>
      <c r="L20" s="38"/>
      <c r="M20" s="39">
        <f t="shared" si="3"/>
        <v>0</v>
      </c>
      <c r="N20" s="38"/>
      <c r="O20" s="39">
        <f t="shared" si="4"/>
        <v>0</v>
      </c>
      <c r="P20" s="38">
        <f t="shared" si="5"/>
        <v>0</v>
      </c>
      <c r="Q20" s="38">
        <f t="shared" si="5"/>
        <v>0</v>
      </c>
    </row>
    <row r="21" spans="4:17" outlineLevel="1">
      <c r="E21" s="3" t="str">
        <f>PlayerPool!B14</f>
        <v>Harbhajan Singh</v>
      </c>
      <c r="F21" s="38">
        <v>0</v>
      </c>
      <c r="G21" s="39">
        <f t="shared" si="0"/>
        <v>0</v>
      </c>
      <c r="H21" s="38"/>
      <c r="I21" s="39">
        <f t="shared" si="1"/>
        <v>0</v>
      </c>
      <c r="J21" s="38"/>
      <c r="K21" s="39">
        <f t="shared" si="2"/>
        <v>0</v>
      </c>
      <c r="L21" s="38"/>
      <c r="M21" s="39">
        <f t="shared" si="3"/>
        <v>0</v>
      </c>
      <c r="N21" s="38"/>
      <c r="O21" s="39">
        <f t="shared" si="4"/>
        <v>0</v>
      </c>
      <c r="P21" s="38">
        <f t="shared" si="5"/>
        <v>0</v>
      </c>
      <c r="Q21" s="38">
        <f t="shared" si="5"/>
        <v>0</v>
      </c>
    </row>
    <row r="22" spans="4:17" outlineLevel="1">
      <c r="E22" s="3" t="str">
        <f>PlayerPool!B15</f>
        <v>Zaheer Khan</v>
      </c>
      <c r="F22" s="38">
        <v>0</v>
      </c>
      <c r="G22" s="39">
        <f t="shared" si="0"/>
        <v>0</v>
      </c>
      <c r="H22" s="38"/>
      <c r="I22" s="39">
        <f t="shared" si="1"/>
        <v>0</v>
      </c>
      <c r="J22" s="38"/>
      <c r="K22" s="39">
        <f t="shared" si="2"/>
        <v>0</v>
      </c>
      <c r="L22" s="38"/>
      <c r="M22" s="39">
        <f t="shared" si="3"/>
        <v>0</v>
      </c>
      <c r="N22" s="38"/>
      <c r="O22" s="39">
        <f t="shared" si="4"/>
        <v>0</v>
      </c>
      <c r="P22" s="38">
        <f t="shared" si="5"/>
        <v>0</v>
      </c>
      <c r="Q22" s="38">
        <f t="shared" si="5"/>
        <v>0</v>
      </c>
    </row>
    <row r="23" spans="4:17" outlineLevel="1">
      <c r="E23" s="3" t="str">
        <f>PlayerPool!B16</f>
        <v>Praveen Kumar</v>
      </c>
      <c r="F23" s="38"/>
      <c r="G23" s="39">
        <f t="shared" si="0"/>
        <v>0</v>
      </c>
      <c r="H23" s="38"/>
      <c r="I23" s="39">
        <f t="shared" si="1"/>
        <v>0</v>
      </c>
      <c r="J23" s="38"/>
      <c r="K23" s="39">
        <f t="shared" si="2"/>
        <v>0</v>
      </c>
      <c r="L23" s="38"/>
      <c r="M23" s="39">
        <f t="shared" si="3"/>
        <v>0</v>
      </c>
      <c r="N23" s="38"/>
      <c r="O23" s="39">
        <f t="shared" si="4"/>
        <v>0</v>
      </c>
      <c r="P23" s="38">
        <f t="shared" si="5"/>
        <v>0</v>
      </c>
      <c r="Q23" s="38">
        <f t="shared" si="5"/>
        <v>0</v>
      </c>
    </row>
    <row r="24" spans="4:17" outlineLevel="1">
      <c r="E24" s="3" t="str">
        <f>PlayerPool!B17</f>
        <v>R Ashwin</v>
      </c>
      <c r="F24" s="38"/>
      <c r="G24" s="39">
        <f t="shared" si="0"/>
        <v>0</v>
      </c>
      <c r="H24" s="38"/>
      <c r="I24" s="39">
        <f t="shared" si="1"/>
        <v>0</v>
      </c>
      <c r="J24" s="38"/>
      <c r="K24" s="39">
        <f t="shared" si="2"/>
        <v>0</v>
      </c>
      <c r="L24" s="38"/>
      <c r="M24" s="39">
        <f t="shared" si="3"/>
        <v>0</v>
      </c>
      <c r="N24" s="38"/>
      <c r="O24" s="39">
        <f t="shared" si="4"/>
        <v>0</v>
      </c>
      <c r="P24" s="38">
        <f t="shared" si="5"/>
        <v>0</v>
      </c>
      <c r="Q24" s="38">
        <f t="shared" si="5"/>
        <v>0</v>
      </c>
    </row>
    <row r="25" spans="4:17">
      <c r="D25" s="5" t="s">
        <v>1</v>
      </c>
      <c r="E25" s="3"/>
      <c r="F25" s="38"/>
      <c r="G25" s="39"/>
      <c r="H25" s="38"/>
      <c r="I25" s="39"/>
      <c r="J25" s="38"/>
      <c r="K25" s="39"/>
      <c r="L25" s="38"/>
      <c r="M25" s="39"/>
      <c r="N25" s="38"/>
      <c r="O25" s="39"/>
      <c r="P25" s="38"/>
      <c r="Q25" s="38"/>
    </row>
    <row r="26" spans="4:17" outlineLevel="1">
      <c r="E26" s="3" t="str">
        <f>PlayerPool!B18</f>
        <v>H Amla</v>
      </c>
      <c r="F26" s="38">
        <v>1</v>
      </c>
      <c r="G26" s="39">
        <f t="shared" ref="G26:G40" si="6">F26*$C$3</f>
        <v>10</v>
      </c>
      <c r="H26" s="38"/>
      <c r="I26" s="39">
        <f t="shared" ref="I26:I40" si="7">H26*$C$3</f>
        <v>0</v>
      </c>
      <c r="J26" s="38"/>
      <c r="K26" s="39">
        <f t="shared" ref="K26:K40" si="8">J26*$C$3</f>
        <v>0</v>
      </c>
      <c r="L26" s="38"/>
      <c r="M26" s="39">
        <f t="shared" ref="M26:M40" si="9">L26*$C$3</f>
        <v>0</v>
      </c>
      <c r="N26" s="38"/>
      <c r="O26" s="39">
        <f t="shared" ref="O26:O40" si="10">N26*$C$3</f>
        <v>0</v>
      </c>
      <c r="P26" s="38">
        <f t="shared" si="5"/>
        <v>1</v>
      </c>
      <c r="Q26" s="38">
        <f t="shared" si="5"/>
        <v>10</v>
      </c>
    </row>
    <row r="27" spans="4:17" outlineLevel="1">
      <c r="E27" s="3" t="str">
        <f>PlayerPool!B19</f>
        <v>G Smith</v>
      </c>
      <c r="F27" s="38">
        <v>2</v>
      </c>
      <c r="G27" s="39">
        <f t="shared" si="6"/>
        <v>20</v>
      </c>
      <c r="H27" s="38"/>
      <c r="I27" s="39">
        <f t="shared" si="7"/>
        <v>0</v>
      </c>
      <c r="J27" s="38"/>
      <c r="K27" s="39">
        <f t="shared" si="8"/>
        <v>0</v>
      </c>
      <c r="L27" s="38"/>
      <c r="M27" s="39">
        <f t="shared" si="9"/>
        <v>0</v>
      </c>
      <c r="N27" s="38"/>
      <c r="O27" s="39">
        <f t="shared" si="10"/>
        <v>0</v>
      </c>
      <c r="P27" s="38">
        <f t="shared" si="5"/>
        <v>2</v>
      </c>
      <c r="Q27" s="38">
        <f t="shared" si="5"/>
        <v>20</v>
      </c>
    </row>
    <row r="28" spans="4:17" outlineLevel="1">
      <c r="E28" s="3" t="str">
        <f>PlayerPool!B20</f>
        <v>J Kallis</v>
      </c>
      <c r="F28" s="38">
        <v>0</v>
      </c>
      <c r="G28" s="39">
        <f t="shared" si="6"/>
        <v>0</v>
      </c>
      <c r="H28" s="38"/>
      <c r="I28" s="39">
        <f t="shared" si="7"/>
        <v>0</v>
      </c>
      <c r="J28" s="38"/>
      <c r="K28" s="39">
        <f t="shared" si="8"/>
        <v>0</v>
      </c>
      <c r="L28" s="38"/>
      <c r="M28" s="39">
        <f t="shared" si="9"/>
        <v>0</v>
      </c>
      <c r="N28" s="38"/>
      <c r="O28" s="39">
        <f t="shared" si="10"/>
        <v>0</v>
      </c>
      <c r="P28" s="38">
        <f t="shared" si="5"/>
        <v>0</v>
      </c>
      <c r="Q28" s="38">
        <f t="shared" si="5"/>
        <v>0</v>
      </c>
    </row>
    <row r="29" spans="4:17" outlineLevel="1">
      <c r="E29" s="3" t="str">
        <f>PlayerPool!B21</f>
        <v>AB De Villiers</v>
      </c>
      <c r="F29" s="38">
        <v>3</v>
      </c>
      <c r="G29" s="39">
        <f t="shared" si="6"/>
        <v>30</v>
      </c>
      <c r="H29" s="38"/>
      <c r="I29" s="39">
        <f t="shared" si="7"/>
        <v>0</v>
      </c>
      <c r="J29" s="38"/>
      <c r="K29" s="39">
        <f t="shared" si="8"/>
        <v>0</v>
      </c>
      <c r="L29" s="38"/>
      <c r="M29" s="39">
        <f t="shared" si="9"/>
        <v>0</v>
      </c>
      <c r="N29" s="38"/>
      <c r="O29" s="39">
        <f t="shared" si="10"/>
        <v>0</v>
      </c>
      <c r="P29" s="38">
        <f t="shared" si="5"/>
        <v>3</v>
      </c>
      <c r="Q29" s="38">
        <f t="shared" si="5"/>
        <v>30</v>
      </c>
    </row>
    <row r="30" spans="4:17" outlineLevel="1">
      <c r="E30" s="3" t="str">
        <f>PlayerPool!B22</f>
        <v>Faf du plessis</v>
      </c>
      <c r="F30" s="38">
        <v>0</v>
      </c>
      <c r="G30" s="39">
        <f t="shared" si="6"/>
        <v>0</v>
      </c>
      <c r="H30" s="38"/>
      <c r="I30" s="39">
        <f t="shared" si="7"/>
        <v>0</v>
      </c>
      <c r="J30" s="38"/>
      <c r="K30" s="39">
        <f t="shared" si="8"/>
        <v>0</v>
      </c>
      <c r="L30" s="38"/>
      <c r="M30" s="39">
        <f t="shared" si="9"/>
        <v>0</v>
      </c>
      <c r="N30" s="38"/>
      <c r="O30" s="39">
        <f t="shared" si="10"/>
        <v>0</v>
      </c>
      <c r="P30" s="38">
        <f t="shared" si="5"/>
        <v>0</v>
      </c>
      <c r="Q30" s="38">
        <f t="shared" si="5"/>
        <v>0</v>
      </c>
    </row>
    <row r="31" spans="4:17" outlineLevel="1">
      <c r="E31" s="3" t="str">
        <f>PlayerPool!B23</f>
        <v>Imran Tahir</v>
      </c>
      <c r="F31" s="38"/>
      <c r="G31" s="39">
        <f t="shared" si="6"/>
        <v>0</v>
      </c>
      <c r="H31" s="38"/>
      <c r="I31" s="39">
        <f t="shared" si="7"/>
        <v>0</v>
      </c>
      <c r="J31" s="38"/>
      <c r="K31" s="39">
        <f t="shared" si="8"/>
        <v>0</v>
      </c>
      <c r="L31" s="38"/>
      <c r="M31" s="39">
        <f t="shared" si="9"/>
        <v>0</v>
      </c>
      <c r="N31" s="38"/>
      <c r="O31" s="39">
        <f t="shared" si="10"/>
        <v>0</v>
      </c>
      <c r="P31" s="38">
        <f t="shared" si="5"/>
        <v>0</v>
      </c>
      <c r="Q31" s="38">
        <f t="shared" si="5"/>
        <v>0</v>
      </c>
    </row>
    <row r="32" spans="4:17" outlineLevel="1">
      <c r="E32" s="3" t="str">
        <f>PlayerPool!B24</f>
        <v>Colin Ingram</v>
      </c>
      <c r="F32" s="38"/>
      <c r="G32" s="39">
        <f t="shared" si="6"/>
        <v>0</v>
      </c>
      <c r="H32" s="38"/>
      <c r="I32" s="39">
        <f t="shared" si="7"/>
        <v>0</v>
      </c>
      <c r="J32" s="38"/>
      <c r="K32" s="39">
        <f t="shared" si="8"/>
        <v>0</v>
      </c>
      <c r="L32" s="38"/>
      <c r="M32" s="39">
        <f t="shared" si="9"/>
        <v>0</v>
      </c>
      <c r="N32" s="38"/>
      <c r="O32" s="39">
        <f t="shared" si="10"/>
        <v>0</v>
      </c>
      <c r="P32" s="38">
        <f t="shared" si="5"/>
        <v>0</v>
      </c>
      <c r="Q32" s="38">
        <f t="shared" si="5"/>
        <v>0</v>
      </c>
    </row>
    <row r="33" spans="5:17" outlineLevel="1">
      <c r="E33" s="3" t="str">
        <f>PlayerPool!B25</f>
        <v>JP Duminy</v>
      </c>
      <c r="F33" s="38">
        <v>0</v>
      </c>
      <c r="G33" s="39">
        <f t="shared" si="6"/>
        <v>0</v>
      </c>
      <c r="H33" s="38"/>
      <c r="I33" s="39">
        <f t="shared" si="7"/>
        <v>0</v>
      </c>
      <c r="J33" s="38"/>
      <c r="K33" s="39">
        <f t="shared" si="8"/>
        <v>0</v>
      </c>
      <c r="L33" s="38"/>
      <c r="M33" s="39">
        <f t="shared" si="9"/>
        <v>0</v>
      </c>
      <c r="N33" s="38"/>
      <c r="O33" s="39">
        <f t="shared" si="10"/>
        <v>0</v>
      </c>
      <c r="P33" s="38">
        <f t="shared" si="5"/>
        <v>0</v>
      </c>
      <c r="Q33" s="38">
        <f t="shared" si="5"/>
        <v>0</v>
      </c>
    </row>
    <row r="34" spans="5:17" outlineLevel="1">
      <c r="E34" s="3" t="str">
        <f>PlayerPool!B26</f>
        <v>R Peterson</v>
      </c>
      <c r="F34" s="38"/>
      <c r="G34" s="39">
        <f t="shared" si="6"/>
        <v>0</v>
      </c>
      <c r="H34" s="38"/>
      <c r="I34" s="39">
        <f t="shared" si="7"/>
        <v>0</v>
      </c>
      <c r="J34" s="38"/>
      <c r="K34" s="39">
        <f t="shared" si="8"/>
        <v>0</v>
      </c>
      <c r="L34" s="38"/>
      <c r="M34" s="39">
        <f t="shared" si="9"/>
        <v>0</v>
      </c>
      <c r="N34" s="38"/>
      <c r="O34" s="39">
        <f t="shared" si="10"/>
        <v>0</v>
      </c>
      <c r="P34" s="38">
        <f t="shared" si="5"/>
        <v>0</v>
      </c>
      <c r="Q34" s="38">
        <f t="shared" si="5"/>
        <v>0</v>
      </c>
    </row>
    <row r="35" spans="5:17" outlineLevel="1">
      <c r="E35" s="3" t="str">
        <f>PlayerPool!B27</f>
        <v>T Tsotsobe</v>
      </c>
      <c r="F35" s="38">
        <v>0</v>
      </c>
      <c r="G35" s="39">
        <f t="shared" si="6"/>
        <v>0</v>
      </c>
      <c r="H35" s="38"/>
      <c r="I35" s="39">
        <f t="shared" si="7"/>
        <v>0</v>
      </c>
      <c r="J35" s="38"/>
      <c r="K35" s="39">
        <f t="shared" si="8"/>
        <v>0</v>
      </c>
      <c r="L35" s="38"/>
      <c r="M35" s="39">
        <f t="shared" si="9"/>
        <v>0</v>
      </c>
      <c r="N35" s="38"/>
      <c r="O35" s="39">
        <f t="shared" si="10"/>
        <v>0</v>
      </c>
      <c r="P35" s="38">
        <f t="shared" si="5"/>
        <v>0</v>
      </c>
      <c r="Q35" s="38">
        <f t="shared" si="5"/>
        <v>0</v>
      </c>
    </row>
    <row r="36" spans="5:17" outlineLevel="1">
      <c r="E36" s="3" t="str">
        <f>PlayerPool!B28</f>
        <v>Morne Van Wyk</v>
      </c>
      <c r="F36" s="38"/>
      <c r="G36" s="39">
        <f t="shared" si="6"/>
        <v>0</v>
      </c>
      <c r="H36" s="38"/>
      <c r="I36" s="39">
        <f t="shared" si="7"/>
        <v>0</v>
      </c>
      <c r="J36" s="38"/>
      <c r="K36" s="39">
        <f t="shared" si="8"/>
        <v>0</v>
      </c>
      <c r="L36" s="38"/>
      <c r="M36" s="39">
        <f t="shared" si="9"/>
        <v>0</v>
      </c>
      <c r="N36" s="38"/>
      <c r="O36" s="39">
        <f t="shared" si="10"/>
        <v>0</v>
      </c>
      <c r="P36" s="38">
        <f t="shared" si="5"/>
        <v>0</v>
      </c>
      <c r="Q36" s="38">
        <f t="shared" si="5"/>
        <v>0</v>
      </c>
    </row>
    <row r="37" spans="5:17" outlineLevel="1">
      <c r="E37" s="3" t="str">
        <f>PlayerPool!B29</f>
        <v>J Botha</v>
      </c>
      <c r="F37" s="38">
        <v>0</v>
      </c>
      <c r="G37" s="39">
        <f t="shared" si="6"/>
        <v>0</v>
      </c>
      <c r="H37" s="38"/>
      <c r="I37" s="39">
        <f t="shared" si="7"/>
        <v>0</v>
      </c>
      <c r="J37" s="38"/>
      <c r="K37" s="39">
        <f t="shared" si="8"/>
        <v>0</v>
      </c>
      <c r="L37" s="38"/>
      <c r="M37" s="39">
        <f t="shared" si="9"/>
        <v>0</v>
      </c>
      <c r="N37" s="38"/>
      <c r="O37" s="39">
        <f t="shared" si="10"/>
        <v>0</v>
      </c>
      <c r="P37" s="38">
        <f t="shared" si="5"/>
        <v>0</v>
      </c>
      <c r="Q37" s="38">
        <f t="shared" si="5"/>
        <v>0</v>
      </c>
    </row>
    <row r="38" spans="5:17" outlineLevel="1">
      <c r="E38" s="3" t="str">
        <f>PlayerPool!B30</f>
        <v>Dale Steyn</v>
      </c>
      <c r="F38" s="38">
        <v>0</v>
      </c>
      <c r="G38" s="39">
        <f t="shared" si="6"/>
        <v>0</v>
      </c>
      <c r="H38" s="38"/>
      <c r="I38" s="39">
        <f t="shared" si="7"/>
        <v>0</v>
      </c>
      <c r="J38" s="38"/>
      <c r="K38" s="39">
        <f t="shared" si="8"/>
        <v>0</v>
      </c>
      <c r="L38" s="38"/>
      <c r="M38" s="39">
        <f t="shared" si="9"/>
        <v>0</v>
      </c>
      <c r="N38" s="38"/>
      <c r="O38" s="39">
        <f t="shared" si="10"/>
        <v>0</v>
      </c>
      <c r="P38" s="38">
        <f t="shared" si="5"/>
        <v>0</v>
      </c>
      <c r="Q38" s="38">
        <f t="shared" si="5"/>
        <v>0</v>
      </c>
    </row>
    <row r="39" spans="5:17" outlineLevel="1">
      <c r="E39" s="3" t="str">
        <f>PlayerPool!B31</f>
        <v>Morne Morkel</v>
      </c>
      <c r="F39" s="38">
        <v>1</v>
      </c>
      <c r="G39" s="39">
        <f t="shared" si="6"/>
        <v>10</v>
      </c>
      <c r="H39" s="38"/>
      <c r="I39" s="39">
        <f t="shared" si="7"/>
        <v>0</v>
      </c>
      <c r="J39" s="38"/>
      <c r="K39" s="39">
        <f t="shared" si="8"/>
        <v>0</v>
      </c>
      <c r="L39" s="38"/>
      <c r="M39" s="39">
        <f t="shared" si="9"/>
        <v>0</v>
      </c>
      <c r="N39" s="38"/>
      <c r="O39" s="39">
        <f t="shared" si="10"/>
        <v>0</v>
      </c>
      <c r="P39" s="38">
        <f t="shared" si="5"/>
        <v>1</v>
      </c>
      <c r="Q39" s="38">
        <f t="shared" si="5"/>
        <v>10</v>
      </c>
    </row>
    <row r="40" spans="5:17" outlineLevel="1">
      <c r="E40" s="3" t="str">
        <f>PlayerPool!B32</f>
        <v>T Parnell</v>
      </c>
      <c r="F40" s="38">
        <v>0</v>
      </c>
      <c r="G40" s="39">
        <f t="shared" si="6"/>
        <v>0</v>
      </c>
      <c r="H40" s="38"/>
      <c r="I40" s="39">
        <f t="shared" si="7"/>
        <v>0</v>
      </c>
      <c r="J40" s="38"/>
      <c r="K40" s="39">
        <f t="shared" si="8"/>
        <v>0</v>
      </c>
      <c r="L40" s="38"/>
      <c r="M40" s="39">
        <f t="shared" si="9"/>
        <v>0</v>
      </c>
      <c r="N40" s="38"/>
      <c r="O40" s="39">
        <f t="shared" si="10"/>
        <v>0</v>
      </c>
      <c r="P40" s="38">
        <f t="shared" si="5"/>
        <v>0</v>
      </c>
      <c r="Q40" s="38">
        <f t="shared" si="5"/>
        <v>0</v>
      </c>
    </row>
  </sheetData>
  <mergeCells count="7">
    <mergeCell ref="B2:D2"/>
    <mergeCell ref="F6:O6"/>
    <mergeCell ref="N7:O7"/>
    <mergeCell ref="F7:G7"/>
    <mergeCell ref="H7:I7"/>
    <mergeCell ref="J7:K7"/>
    <mergeCell ref="L7:M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theme="3"/>
  </sheetPr>
  <dimension ref="B2:P35"/>
  <sheetViews>
    <sheetView workbookViewId="0">
      <selection activeCell="T6" sqref="T6"/>
    </sheetView>
  </sheetViews>
  <sheetFormatPr defaultRowHeight="15" outlineLevelRow="1"/>
  <cols>
    <col min="2" max="2" width="11.7109375" bestFit="1" customWidth="1"/>
    <col min="3" max="3" width="16.28515625" bestFit="1" customWidth="1"/>
    <col min="4" max="7" width="9.28515625" bestFit="1" customWidth="1"/>
    <col min="9" max="9" width="11.42578125" bestFit="1" customWidth="1"/>
    <col min="10" max="10" width="0" hidden="1" customWidth="1"/>
    <col min="11" max="11" width="8.5703125" hidden="1" customWidth="1"/>
    <col min="12" max="12" width="0" hidden="1" customWidth="1"/>
    <col min="15" max="15" width="3" bestFit="1" customWidth="1"/>
  </cols>
  <sheetData>
    <row r="2" spans="2:16">
      <c r="D2" s="123" t="s">
        <v>2</v>
      </c>
      <c r="E2" s="123"/>
      <c r="F2" s="123"/>
      <c r="G2" s="123"/>
      <c r="H2" s="123"/>
    </row>
    <row r="3" spans="2:16">
      <c r="D3" s="7">
        <v>40562</v>
      </c>
      <c r="E3" s="19">
        <v>40563</v>
      </c>
      <c r="F3" s="19">
        <v>40564</v>
      </c>
      <c r="G3" s="19">
        <v>40565</v>
      </c>
      <c r="H3" s="19">
        <v>40566</v>
      </c>
      <c r="I3" s="10" t="s">
        <v>3</v>
      </c>
    </row>
    <row r="4" spans="2:16">
      <c r="B4" s="5" t="s">
        <v>0</v>
      </c>
      <c r="N4" s="17"/>
      <c r="O4" s="17"/>
      <c r="P4" s="17"/>
    </row>
    <row r="5" spans="2:16" outlineLevel="1">
      <c r="C5" s="3" t="str">
        <f>PlayerPool!B3</f>
        <v>Sachin Tendulkar</v>
      </c>
      <c r="D5" s="3">
        <f>Batting!G10+Bowling!G10+Fielding!G10</f>
        <v>130</v>
      </c>
      <c r="E5" s="3">
        <f>Batting!I10+Bowling!I10+Fielding!I10</f>
        <v>0</v>
      </c>
      <c r="F5" s="3">
        <f>Batting!K10+Bowling!K10+Fielding!K10</f>
        <v>0</v>
      </c>
      <c r="G5" s="3">
        <f>Batting!M10+Bowling!M10+Fielding!M10</f>
        <v>0</v>
      </c>
      <c r="H5" s="3">
        <f>Batting!O10+Bowling!O10+Fielding!O10</f>
        <v>0</v>
      </c>
      <c r="I5" s="3">
        <f>SUM(D5:H5)</f>
        <v>130</v>
      </c>
      <c r="J5">
        <f>SUM(D5:H5)</f>
        <v>130</v>
      </c>
      <c r="K5" s="2">
        <f t="shared" ref="K5:K19" si="0">COUNTIF(D5:H5,"&gt;=50")</f>
        <v>1</v>
      </c>
      <c r="L5" s="2">
        <f>COUNTIF(D5:H5,"&gt;=100")</f>
        <v>1</v>
      </c>
      <c r="N5" s="18"/>
      <c r="O5" s="18"/>
      <c r="P5" s="18"/>
    </row>
    <row r="6" spans="2:16" outlineLevel="1">
      <c r="C6" s="3" t="str">
        <f>PlayerPool!B4</f>
        <v>Virender Sehwag</v>
      </c>
      <c r="D6" s="3">
        <f>Batting!G11+Bowling!G11+Fielding!G11</f>
        <v>46</v>
      </c>
      <c r="E6" s="3">
        <f>Batting!I11+Bowling!I11+Fielding!I11</f>
        <v>0</v>
      </c>
      <c r="F6" s="3">
        <f>Batting!K11+Bowling!K11+Fielding!K11</f>
        <v>0</v>
      </c>
      <c r="G6" s="3">
        <f>Batting!M11+Bowling!M11+Fielding!M11</f>
        <v>0</v>
      </c>
      <c r="H6" s="3">
        <f>Batting!O11+Bowling!O11+Fielding!O11</f>
        <v>0</v>
      </c>
      <c r="I6" s="3">
        <f t="shared" ref="I6:I19" si="1">SUM(D6:H6)</f>
        <v>46</v>
      </c>
      <c r="K6" s="2">
        <f t="shared" si="0"/>
        <v>0</v>
      </c>
      <c r="L6" s="2">
        <f t="shared" ref="L6:L19" si="2">COUNTIF(D6:H6,"&gt;=100")</f>
        <v>0</v>
      </c>
      <c r="N6" s="17"/>
      <c r="O6" s="17"/>
      <c r="P6" s="17"/>
    </row>
    <row r="7" spans="2:16" outlineLevel="1">
      <c r="C7" s="3" t="str">
        <f>PlayerPool!B5</f>
        <v>Gautam Gambhir</v>
      </c>
      <c r="D7" s="3">
        <f>Batting!G12+Bowling!G12+Fielding!G12</f>
        <v>22</v>
      </c>
      <c r="E7" s="3">
        <f>Batting!I12+Bowling!I12+Fielding!I12</f>
        <v>0</v>
      </c>
      <c r="F7" s="3">
        <f>Batting!K12+Bowling!K12+Fielding!K12</f>
        <v>0</v>
      </c>
      <c r="G7" s="3">
        <f>Batting!M12+Bowling!M12+Fielding!M12</f>
        <v>0</v>
      </c>
      <c r="H7" s="3">
        <f>Batting!O12+Bowling!O12+Fielding!O12</f>
        <v>0</v>
      </c>
      <c r="I7" s="3">
        <f t="shared" si="1"/>
        <v>22</v>
      </c>
      <c r="K7" s="2">
        <f t="shared" si="0"/>
        <v>0</v>
      </c>
      <c r="L7" s="2">
        <f t="shared" si="2"/>
        <v>0</v>
      </c>
      <c r="N7" s="17"/>
      <c r="O7" s="17"/>
      <c r="P7" s="17"/>
    </row>
    <row r="8" spans="2:16" outlineLevel="1">
      <c r="C8" s="3" t="str">
        <f>PlayerPool!B6</f>
        <v>Viraat Kohli</v>
      </c>
      <c r="D8" s="3">
        <f>Batting!G13+Bowling!G13+Fielding!G13</f>
        <v>84</v>
      </c>
      <c r="E8" s="3">
        <f>Batting!I13+Bowling!I13+Fielding!I13</f>
        <v>0</v>
      </c>
      <c r="F8" s="3">
        <f>Batting!K13+Bowling!K13+Fielding!K13</f>
        <v>0</v>
      </c>
      <c r="G8" s="3">
        <f>Batting!M13+Bowling!M13+Fielding!M13</f>
        <v>0</v>
      </c>
      <c r="H8" s="3">
        <f>Batting!O13+Bowling!O13+Fielding!O13</f>
        <v>0</v>
      </c>
      <c r="I8" s="3">
        <f t="shared" si="1"/>
        <v>84</v>
      </c>
      <c r="K8" s="2">
        <f t="shared" si="0"/>
        <v>1</v>
      </c>
      <c r="L8" s="2">
        <f t="shared" si="2"/>
        <v>0</v>
      </c>
      <c r="N8" s="17"/>
      <c r="O8" s="17"/>
      <c r="P8" s="17"/>
    </row>
    <row r="9" spans="2:16" outlineLevel="1">
      <c r="C9" s="3" t="str">
        <f>PlayerPool!B7</f>
        <v>Yuvraj Singh</v>
      </c>
      <c r="D9" s="3">
        <f>Batting!G14+Bowling!G14+Fielding!G14</f>
        <v>23</v>
      </c>
      <c r="E9" s="3">
        <f>Batting!I14+Bowling!I14+Fielding!I14</f>
        <v>0</v>
      </c>
      <c r="F9" s="3">
        <f>Batting!K14+Bowling!K14+Fielding!K14</f>
        <v>0</v>
      </c>
      <c r="G9" s="3">
        <f>Batting!M14+Bowling!M14+Fielding!M14</f>
        <v>0</v>
      </c>
      <c r="H9" s="3">
        <f>Batting!O14+Bowling!O14+Fielding!O14</f>
        <v>0</v>
      </c>
      <c r="I9" s="3">
        <f t="shared" si="1"/>
        <v>23</v>
      </c>
      <c r="K9" s="2">
        <f t="shared" si="0"/>
        <v>0</v>
      </c>
      <c r="L9" s="2">
        <f t="shared" si="2"/>
        <v>0</v>
      </c>
      <c r="N9" s="17"/>
      <c r="O9" s="17"/>
      <c r="P9" s="17"/>
    </row>
    <row r="10" spans="2:16" outlineLevel="1">
      <c r="C10" s="3" t="str">
        <f>PlayerPool!B8</f>
        <v>Suresh Raina</v>
      </c>
      <c r="D10" s="3">
        <f>Batting!G15+Bowling!G15+Fielding!G15</f>
        <v>77</v>
      </c>
      <c r="E10" s="3">
        <f>Batting!I15+Bowling!I15+Fielding!I15</f>
        <v>0</v>
      </c>
      <c r="F10" s="3">
        <f>Batting!K15+Bowling!K15+Fielding!K15</f>
        <v>0</v>
      </c>
      <c r="G10" s="3">
        <f>Batting!M15+Bowling!M15+Fielding!M15</f>
        <v>0</v>
      </c>
      <c r="H10" s="3">
        <f>Batting!O15+Bowling!O15+Fielding!O15</f>
        <v>0</v>
      </c>
      <c r="I10" s="3">
        <f t="shared" si="1"/>
        <v>77</v>
      </c>
      <c r="K10" s="2"/>
      <c r="L10" s="2"/>
      <c r="N10" s="17"/>
      <c r="O10" s="17"/>
      <c r="P10" s="17"/>
    </row>
    <row r="11" spans="2:16" outlineLevel="1">
      <c r="C11" s="3" t="str">
        <f>PlayerPool!B9</f>
        <v>MS Dhoni</v>
      </c>
      <c r="D11" s="3">
        <f>Batting!G16+Bowling!G16+Fielding!G16</f>
        <v>55</v>
      </c>
      <c r="E11" s="3">
        <f>Batting!I16+Bowling!I16+Fielding!I16</f>
        <v>0</v>
      </c>
      <c r="F11" s="3">
        <f>Batting!K16+Bowling!K16+Fielding!K16</f>
        <v>0</v>
      </c>
      <c r="G11" s="3">
        <f>Batting!M16+Bowling!M16+Fielding!M16</f>
        <v>0</v>
      </c>
      <c r="H11" s="3">
        <f>Batting!O16+Bowling!O16+Fielding!O16</f>
        <v>0</v>
      </c>
      <c r="I11" s="3">
        <f t="shared" si="1"/>
        <v>55</v>
      </c>
      <c r="K11" s="2"/>
      <c r="L11" s="2"/>
      <c r="N11" s="17"/>
      <c r="O11" s="17"/>
      <c r="P11" s="17"/>
    </row>
    <row r="12" spans="2:16" outlineLevel="1">
      <c r="C12" s="3" t="str">
        <f>PlayerPool!B10</f>
        <v>Yousuf Pathan</v>
      </c>
      <c r="D12" s="3">
        <f>Batting!G17+Bowling!G17+Fielding!G17</f>
        <v>171</v>
      </c>
      <c r="E12" s="3">
        <f>Batting!I17+Bowling!I17+Fielding!I17</f>
        <v>0</v>
      </c>
      <c r="F12" s="3">
        <f>Batting!K17+Bowling!K17+Fielding!K17</f>
        <v>0</v>
      </c>
      <c r="G12" s="3">
        <f>Batting!M17+Bowling!M17+Fielding!M17</f>
        <v>0</v>
      </c>
      <c r="H12" s="3">
        <f>Batting!O17+Bowling!O17+Fielding!O17</f>
        <v>0</v>
      </c>
      <c r="I12" s="3">
        <f t="shared" si="1"/>
        <v>171</v>
      </c>
      <c r="K12" s="2"/>
      <c r="L12" s="2"/>
      <c r="N12" s="17"/>
      <c r="O12" s="17"/>
      <c r="P12" s="17"/>
    </row>
    <row r="13" spans="2:16" outlineLevel="1">
      <c r="C13" s="3" t="str">
        <f>PlayerPool!B11</f>
        <v>Munaf Patel</v>
      </c>
      <c r="D13" s="3">
        <f>Batting!G18+Bowling!G18+Fielding!G18</f>
        <v>13</v>
      </c>
      <c r="E13" s="3">
        <f>Batting!I18+Bowling!I18+Fielding!I18</f>
        <v>0</v>
      </c>
      <c r="F13" s="3">
        <f>Batting!K18+Bowling!K18+Fielding!K18</f>
        <v>0</v>
      </c>
      <c r="G13" s="3">
        <f>Batting!M18+Bowling!M18+Fielding!M18</f>
        <v>0</v>
      </c>
      <c r="H13" s="3">
        <f>Batting!O18+Bowling!O18+Fielding!O18</f>
        <v>0</v>
      </c>
      <c r="I13" s="3">
        <f t="shared" si="1"/>
        <v>13</v>
      </c>
      <c r="K13" s="2"/>
      <c r="L13" s="2"/>
      <c r="N13" s="17"/>
      <c r="O13" s="17"/>
      <c r="P13" s="17"/>
    </row>
    <row r="14" spans="2:16" outlineLevel="1">
      <c r="C14" s="3" t="str">
        <f>PlayerPool!B12</f>
        <v>Piyush Chawla</v>
      </c>
      <c r="D14" s="3">
        <f>Batting!G19+Bowling!G19+Fielding!G19</f>
        <v>0</v>
      </c>
      <c r="E14" s="3">
        <f>Batting!I19+Bowling!I19+Fielding!I19</f>
        <v>0</v>
      </c>
      <c r="F14" s="3">
        <f>Batting!K19+Bowling!K19+Fielding!K19</f>
        <v>0</v>
      </c>
      <c r="G14" s="3">
        <f>Batting!M19+Bowling!M19+Fielding!M19</f>
        <v>0</v>
      </c>
      <c r="H14" s="3">
        <f>Batting!O19+Bowling!O19+Fielding!O19</f>
        <v>0</v>
      </c>
      <c r="I14" s="3">
        <f t="shared" si="1"/>
        <v>0</v>
      </c>
      <c r="K14" s="2"/>
      <c r="L14" s="2"/>
      <c r="N14" s="17"/>
      <c r="O14" s="17"/>
      <c r="P14" s="17"/>
    </row>
    <row r="15" spans="2:16" outlineLevel="1">
      <c r="C15" s="3" t="str">
        <f>PlayerPool!B13</f>
        <v>Ashish Nehra</v>
      </c>
      <c r="D15" s="3">
        <f>Batting!G20+Bowling!G20+Fielding!G20</f>
        <v>0</v>
      </c>
      <c r="E15" s="3">
        <f>Batting!I20+Bowling!I20+Fielding!I20</f>
        <v>0</v>
      </c>
      <c r="F15" s="3">
        <f>Batting!K20+Bowling!K20+Fielding!K20</f>
        <v>0</v>
      </c>
      <c r="G15" s="3">
        <f>Batting!M20+Bowling!M20+Fielding!M20</f>
        <v>0</v>
      </c>
      <c r="H15" s="3">
        <f>Batting!O20+Bowling!O20+Fielding!O20</f>
        <v>0</v>
      </c>
      <c r="I15" s="3">
        <f t="shared" si="1"/>
        <v>0</v>
      </c>
      <c r="K15" s="2">
        <f t="shared" si="0"/>
        <v>0</v>
      </c>
      <c r="L15" s="2">
        <f t="shared" si="2"/>
        <v>0</v>
      </c>
      <c r="N15" s="17"/>
      <c r="O15" s="17"/>
      <c r="P15" s="17"/>
    </row>
    <row r="16" spans="2:16" outlineLevel="1">
      <c r="C16" s="3" t="str">
        <f>PlayerPool!B14</f>
        <v>Harbhajan Singh</v>
      </c>
      <c r="D16" s="3">
        <f>Batting!G21+Bowling!G21+Fielding!G21</f>
        <v>52</v>
      </c>
      <c r="E16" s="3">
        <f>Batting!I21+Bowling!I21+Fielding!I21</f>
        <v>0</v>
      </c>
      <c r="F16" s="3">
        <f>Batting!K21+Bowling!K21+Fielding!K21</f>
        <v>0</v>
      </c>
      <c r="G16" s="3">
        <f>Batting!M21+Bowling!M21+Fielding!M21</f>
        <v>0</v>
      </c>
      <c r="H16" s="3">
        <f>Batting!O21+Bowling!O21+Fielding!O21</f>
        <v>0</v>
      </c>
      <c r="I16" s="3">
        <f t="shared" si="1"/>
        <v>52</v>
      </c>
      <c r="K16" s="2">
        <f t="shared" si="0"/>
        <v>1</v>
      </c>
      <c r="L16" s="2">
        <f t="shared" si="2"/>
        <v>0</v>
      </c>
      <c r="N16" s="17"/>
      <c r="O16" s="17"/>
      <c r="P16" s="17"/>
    </row>
    <row r="17" spans="2:16" outlineLevel="1">
      <c r="C17" s="3" t="str">
        <f>PlayerPool!B15</f>
        <v>Zaheer Khan</v>
      </c>
      <c r="D17" s="3">
        <f>Batting!G22+Bowling!G22+Fielding!G22</f>
        <v>85</v>
      </c>
      <c r="E17" s="3">
        <f>Batting!I22+Bowling!I22+Fielding!I22</f>
        <v>0</v>
      </c>
      <c r="F17" s="3">
        <f>Batting!K22+Bowling!K22+Fielding!K22</f>
        <v>0</v>
      </c>
      <c r="G17" s="3">
        <f>Batting!M22+Bowling!M22+Fielding!M22</f>
        <v>0</v>
      </c>
      <c r="H17" s="3">
        <f>Batting!O22+Bowling!O22+Fielding!O22</f>
        <v>0</v>
      </c>
      <c r="I17" s="3">
        <f t="shared" si="1"/>
        <v>85</v>
      </c>
      <c r="K17" s="2">
        <f t="shared" si="0"/>
        <v>1</v>
      </c>
      <c r="L17" s="2">
        <f t="shared" si="2"/>
        <v>0</v>
      </c>
      <c r="N17" s="17"/>
      <c r="O17" s="17"/>
      <c r="P17" s="17"/>
    </row>
    <row r="18" spans="2:16" outlineLevel="1">
      <c r="C18" s="3" t="str">
        <f>PlayerPool!B16</f>
        <v>Praveen Kumar</v>
      </c>
      <c r="D18" s="3">
        <f>Batting!G23+Bowling!G23+Fielding!G23</f>
        <v>0</v>
      </c>
      <c r="E18" s="3">
        <f>Batting!I23+Bowling!I23+Fielding!I23</f>
        <v>0</v>
      </c>
      <c r="F18" s="3">
        <f>Batting!K23+Bowling!K23+Fielding!K23</f>
        <v>0</v>
      </c>
      <c r="G18" s="3">
        <f>Batting!M23+Bowling!M23+Fielding!M23</f>
        <v>0</v>
      </c>
      <c r="H18" s="3">
        <f>Batting!O23+Bowling!O23+Fielding!O23</f>
        <v>0</v>
      </c>
      <c r="I18" s="3">
        <f t="shared" si="1"/>
        <v>0</v>
      </c>
      <c r="K18" s="2">
        <f t="shared" si="0"/>
        <v>0</v>
      </c>
      <c r="L18" s="2">
        <f t="shared" si="2"/>
        <v>0</v>
      </c>
      <c r="N18" s="17"/>
      <c r="O18" s="17"/>
      <c r="P18" s="17"/>
    </row>
    <row r="19" spans="2:16" outlineLevel="1">
      <c r="C19" s="3" t="str">
        <f>PlayerPool!B17</f>
        <v>R Ashwin</v>
      </c>
      <c r="D19" s="3">
        <f>Batting!G24+Bowling!G24+Fielding!G24</f>
        <v>0</v>
      </c>
      <c r="E19" s="3">
        <f>Batting!I24+Bowling!I24+Fielding!I24</f>
        <v>0</v>
      </c>
      <c r="F19" s="3">
        <f>Batting!K24+Bowling!K24+Fielding!K24</f>
        <v>0</v>
      </c>
      <c r="G19" s="3">
        <f>Batting!M24+Bowling!M24+Fielding!M24</f>
        <v>0</v>
      </c>
      <c r="H19" s="3">
        <f>Batting!O24+Bowling!O24+Fielding!O24</f>
        <v>0</v>
      </c>
      <c r="I19" s="3">
        <f t="shared" si="1"/>
        <v>0</v>
      </c>
      <c r="K19" s="2">
        <f t="shared" si="0"/>
        <v>0</v>
      </c>
      <c r="L19" s="2">
        <f t="shared" si="2"/>
        <v>0</v>
      </c>
    </row>
    <row r="20" spans="2:16">
      <c r="B20" s="5" t="s">
        <v>1</v>
      </c>
      <c r="C20" s="3"/>
      <c r="D20" s="3"/>
      <c r="E20" s="3"/>
      <c r="F20" s="3"/>
      <c r="G20" s="3"/>
      <c r="H20" s="3"/>
      <c r="I20" s="3"/>
    </row>
    <row r="21" spans="2:16" outlineLevel="1">
      <c r="C21" s="3" t="str">
        <f>PlayerPool!B18</f>
        <v>H Amla</v>
      </c>
      <c r="D21" s="3">
        <f>Batting!G26+Bowling!G26+Fielding!G26</f>
        <v>72</v>
      </c>
      <c r="E21" s="3">
        <f>Batting!I26+Bowling!I26+Fielding!I26</f>
        <v>0</v>
      </c>
      <c r="F21" s="3">
        <f>Batting!K26+Bowling!K26+Fielding!K26</f>
        <v>0</v>
      </c>
      <c r="G21" s="3">
        <f>Batting!M26+Bowling!M26+Fielding!M26</f>
        <v>0</v>
      </c>
      <c r="H21" s="3">
        <f>Batting!O26+Bowling!O26+Fielding!O26</f>
        <v>0</v>
      </c>
      <c r="I21" s="3">
        <f t="shared" ref="I21:I35" si="3">SUM(D21:H21)</f>
        <v>72</v>
      </c>
    </row>
    <row r="22" spans="2:16" outlineLevel="1">
      <c r="C22" s="3" t="str">
        <f>PlayerPool!B19</f>
        <v>G Smith</v>
      </c>
      <c r="D22" s="3">
        <f>Batting!G27+Bowling!G27+Fielding!G27</f>
        <v>27</v>
      </c>
      <c r="E22" s="3">
        <f>Batting!I27+Bowling!I27+Fielding!I27</f>
        <v>0</v>
      </c>
      <c r="F22" s="3">
        <f>Batting!K27+Bowling!K27+Fielding!K27</f>
        <v>0</v>
      </c>
      <c r="G22" s="3">
        <f>Batting!M27+Bowling!M27+Fielding!M27</f>
        <v>0</v>
      </c>
      <c r="H22" s="3">
        <f>Batting!O27+Bowling!O27+Fielding!O27</f>
        <v>0</v>
      </c>
      <c r="I22" s="3">
        <f t="shared" si="3"/>
        <v>27</v>
      </c>
    </row>
    <row r="23" spans="2:16" outlineLevel="1">
      <c r="C23" s="3" t="str">
        <f>PlayerPool!B20</f>
        <v>J Kallis</v>
      </c>
      <c r="D23" s="3">
        <f>Batting!G28+Bowling!G28+Fielding!G28</f>
        <v>68</v>
      </c>
      <c r="E23" s="3">
        <f>Batting!I28+Bowling!I28+Fielding!I28</f>
        <v>0</v>
      </c>
      <c r="F23" s="3">
        <f>Batting!K28+Bowling!K28+Fielding!K28</f>
        <v>0</v>
      </c>
      <c r="G23" s="3">
        <f>Batting!M28+Bowling!M28+Fielding!M28</f>
        <v>0</v>
      </c>
      <c r="H23" s="3">
        <f>Batting!O28+Bowling!O28+Fielding!O28</f>
        <v>0</v>
      </c>
      <c r="I23" s="3">
        <f t="shared" si="3"/>
        <v>68</v>
      </c>
    </row>
    <row r="24" spans="2:16" outlineLevel="1">
      <c r="C24" s="3" t="str">
        <f>PlayerPool!B21</f>
        <v>AB De Villiers</v>
      </c>
      <c r="D24" s="3">
        <f>Batting!G29+Bowling!G29+Fielding!G29</f>
        <v>51</v>
      </c>
      <c r="E24" s="3">
        <f>Batting!I29+Bowling!I29+Fielding!I29</f>
        <v>0</v>
      </c>
      <c r="F24" s="3">
        <f>Batting!K29+Bowling!K29+Fielding!K29</f>
        <v>0</v>
      </c>
      <c r="G24" s="3">
        <f>Batting!M29+Bowling!M29+Fielding!M29</f>
        <v>0</v>
      </c>
      <c r="H24" s="3">
        <f>Batting!O29+Bowling!O29+Fielding!O29</f>
        <v>0</v>
      </c>
      <c r="I24" s="3">
        <f t="shared" si="3"/>
        <v>51</v>
      </c>
    </row>
    <row r="25" spans="2:16" outlineLevel="1">
      <c r="C25" s="3" t="str">
        <f>PlayerPool!B22</f>
        <v>Faf du plessis</v>
      </c>
      <c r="D25" s="3">
        <f>Batting!G30+Bowling!G30+Fielding!G30</f>
        <v>59</v>
      </c>
      <c r="E25" s="3">
        <f>Batting!I30+Bowling!I30+Fielding!I30</f>
        <v>0</v>
      </c>
      <c r="F25" s="3">
        <f>Batting!K30+Bowling!K30+Fielding!K30</f>
        <v>0</v>
      </c>
      <c r="G25" s="3">
        <f>Batting!M30+Bowling!M30+Fielding!M30</f>
        <v>0</v>
      </c>
      <c r="H25" s="3">
        <f>Batting!O30+Bowling!O30+Fielding!O30</f>
        <v>0</v>
      </c>
      <c r="I25" s="3">
        <f t="shared" si="3"/>
        <v>59</v>
      </c>
    </row>
    <row r="26" spans="2:16" outlineLevel="1">
      <c r="C26" s="3" t="str">
        <f>PlayerPool!B23</f>
        <v>Imran Tahir</v>
      </c>
      <c r="D26" s="3">
        <f>Batting!G31+Bowling!G31+Fielding!G31</f>
        <v>0</v>
      </c>
      <c r="E26" s="3">
        <f>Batting!I31+Bowling!I31+Fielding!I31</f>
        <v>0</v>
      </c>
      <c r="F26" s="3">
        <f>Batting!K31+Bowling!K31+Fielding!K31</f>
        <v>0</v>
      </c>
      <c r="G26" s="3">
        <f>Batting!M31+Bowling!M31+Fielding!M31</f>
        <v>0</v>
      </c>
      <c r="H26" s="3">
        <f>Batting!O31+Bowling!O31+Fielding!O31</f>
        <v>0</v>
      </c>
      <c r="I26" s="3">
        <f t="shared" si="3"/>
        <v>0</v>
      </c>
    </row>
    <row r="27" spans="2:16" outlineLevel="1">
      <c r="C27" s="3" t="str">
        <f>PlayerPool!B24</f>
        <v>Colin Ingram</v>
      </c>
      <c r="D27" s="3">
        <f>Batting!G32+Bowling!G32+Fielding!G32</f>
        <v>0</v>
      </c>
      <c r="E27" s="3">
        <f>Batting!I32+Bowling!I32+Fielding!I32</f>
        <v>0</v>
      </c>
      <c r="F27" s="3">
        <f>Batting!K32+Bowling!K32+Fielding!K32</f>
        <v>0</v>
      </c>
      <c r="G27" s="3">
        <f>Batting!M32+Bowling!M32+Fielding!M32</f>
        <v>0</v>
      </c>
      <c r="H27" s="3">
        <f>Batting!O32+Bowling!O32+Fielding!O32</f>
        <v>0</v>
      </c>
      <c r="I27" s="3">
        <f t="shared" si="3"/>
        <v>0</v>
      </c>
    </row>
    <row r="28" spans="2:16" outlineLevel="1">
      <c r="C28" s="3" t="str">
        <f>PlayerPool!B25</f>
        <v>JP Duminy</v>
      </c>
      <c r="D28" s="3">
        <f>Batting!G33+Bowling!G33+Fielding!G33</f>
        <v>21</v>
      </c>
      <c r="E28" s="3">
        <f>Batting!I33+Bowling!I33+Fielding!I33</f>
        <v>0</v>
      </c>
      <c r="F28" s="3">
        <f>Batting!K33+Bowling!K33+Fielding!K33</f>
        <v>0</v>
      </c>
      <c r="G28" s="3">
        <f>Batting!M33+Bowling!M33+Fielding!M33</f>
        <v>0</v>
      </c>
      <c r="H28" s="3">
        <f>Batting!O33+Bowling!O33+Fielding!O33</f>
        <v>0</v>
      </c>
      <c r="I28" s="3">
        <f t="shared" si="3"/>
        <v>21</v>
      </c>
    </row>
    <row r="29" spans="2:16" outlineLevel="1">
      <c r="C29" s="3" t="str">
        <f>PlayerPool!B26</f>
        <v>R Peterson</v>
      </c>
      <c r="D29" s="3">
        <f>Batting!G34+Bowling!G34+Fielding!G34</f>
        <v>0</v>
      </c>
      <c r="E29" s="3">
        <f>Batting!I34+Bowling!I34+Fielding!I34</f>
        <v>0</v>
      </c>
      <c r="F29" s="3">
        <f>Batting!K34+Bowling!K34+Fielding!K34</f>
        <v>0</v>
      </c>
      <c r="G29" s="3">
        <f>Batting!M34+Bowling!M34+Fielding!M34</f>
        <v>0</v>
      </c>
      <c r="H29" s="3">
        <f>Batting!O34+Bowling!O34+Fielding!O34</f>
        <v>0</v>
      </c>
      <c r="I29" s="3">
        <f t="shared" si="3"/>
        <v>0</v>
      </c>
    </row>
    <row r="30" spans="2:16" outlineLevel="1">
      <c r="C30" s="3" t="str">
        <f>PlayerPool!B27</f>
        <v>T Tsotsobe</v>
      </c>
      <c r="D30" s="3">
        <f>Batting!G35+Bowling!G35+Fielding!G35</f>
        <v>86</v>
      </c>
      <c r="E30" s="3">
        <f>Batting!I35+Bowling!I35+Fielding!I35</f>
        <v>0</v>
      </c>
      <c r="F30" s="3">
        <f>Batting!K35+Bowling!K35+Fielding!K35</f>
        <v>0</v>
      </c>
      <c r="G30" s="3">
        <f>Batting!M35+Bowling!M35+Fielding!M35</f>
        <v>0</v>
      </c>
      <c r="H30" s="3">
        <f>Batting!O35+Bowling!O35+Fielding!O35</f>
        <v>0</v>
      </c>
      <c r="I30" s="3">
        <f t="shared" si="3"/>
        <v>86</v>
      </c>
    </row>
    <row r="31" spans="2:16" outlineLevel="1">
      <c r="C31" s="3" t="str">
        <f>PlayerPool!B28</f>
        <v>Morne Van Wyk</v>
      </c>
      <c r="D31" s="3">
        <f>Batting!G36+Bowling!G36+Fielding!G36</f>
        <v>0</v>
      </c>
      <c r="E31" s="3">
        <f>Batting!I36+Bowling!I36+Fielding!I36</f>
        <v>0</v>
      </c>
      <c r="F31" s="3">
        <f>Batting!K36+Bowling!K36+Fielding!K36</f>
        <v>0</v>
      </c>
      <c r="G31" s="3">
        <f>Batting!M36+Bowling!M36+Fielding!M36</f>
        <v>0</v>
      </c>
      <c r="H31" s="3">
        <f>Batting!O36+Bowling!O36+Fielding!O36</f>
        <v>0</v>
      </c>
      <c r="I31" s="3">
        <f t="shared" si="3"/>
        <v>0</v>
      </c>
    </row>
    <row r="32" spans="2:16" outlineLevel="1">
      <c r="C32" s="3" t="str">
        <f>PlayerPool!B29</f>
        <v>J Botha</v>
      </c>
      <c r="D32" s="3">
        <f>Batting!G37+Bowling!G37+Fielding!G37</f>
        <v>5</v>
      </c>
      <c r="E32" s="3">
        <f>Batting!I37+Bowling!I37+Fielding!I37</f>
        <v>0</v>
      </c>
      <c r="F32" s="3">
        <f>Batting!K37+Bowling!K37+Fielding!K37</f>
        <v>0</v>
      </c>
      <c r="G32" s="3">
        <f>Batting!M37+Bowling!M37+Fielding!M37</f>
        <v>0</v>
      </c>
      <c r="H32" s="3">
        <f>Batting!O37+Bowling!O37+Fielding!O37</f>
        <v>0</v>
      </c>
      <c r="I32" s="3">
        <f t="shared" si="3"/>
        <v>5</v>
      </c>
    </row>
    <row r="33" spans="3:9" outlineLevel="1">
      <c r="C33" s="3" t="str">
        <f>PlayerPool!B30</f>
        <v>Dale Steyn</v>
      </c>
      <c r="D33" s="3">
        <f>Batting!G38+Bowling!G38+Fielding!G38</f>
        <v>88</v>
      </c>
      <c r="E33" s="3">
        <f>Batting!I38+Bowling!I38+Fielding!I38</f>
        <v>0</v>
      </c>
      <c r="F33" s="3">
        <f>Batting!K38+Bowling!K38+Fielding!K38</f>
        <v>0</v>
      </c>
      <c r="G33" s="3">
        <f>Batting!M38+Bowling!M38+Fielding!M38</f>
        <v>0</v>
      </c>
      <c r="H33" s="3">
        <f>Batting!O38+Bowling!O38+Fielding!O38</f>
        <v>0</v>
      </c>
      <c r="I33" s="3">
        <f t="shared" si="3"/>
        <v>88</v>
      </c>
    </row>
    <row r="34" spans="3:9" outlineLevel="1">
      <c r="C34" s="3" t="str">
        <f>PlayerPool!B31</f>
        <v>Morne Morkel</v>
      </c>
      <c r="D34" s="3">
        <f>Batting!G39+Bowling!G39+Fielding!G39</f>
        <v>104</v>
      </c>
      <c r="E34" s="3">
        <f>Batting!I39+Bowling!I39+Fielding!I39</f>
        <v>0</v>
      </c>
      <c r="F34" s="3">
        <f>Batting!K39+Bowling!K39+Fielding!K39</f>
        <v>0</v>
      </c>
      <c r="G34" s="3">
        <f>Batting!M39+Bowling!M39+Fielding!M39</f>
        <v>0</v>
      </c>
      <c r="H34" s="3">
        <f>Batting!O39+Bowling!O39+Fielding!O39</f>
        <v>0</v>
      </c>
      <c r="I34" s="3">
        <f t="shared" si="3"/>
        <v>104</v>
      </c>
    </row>
    <row r="35" spans="3:9" outlineLevel="1">
      <c r="C35" s="3" t="str">
        <f>PlayerPool!B32</f>
        <v>T Parnell</v>
      </c>
      <c r="D35" s="3">
        <f>Batting!G40+Bowling!G40+Fielding!G40</f>
        <v>61</v>
      </c>
      <c r="E35" s="3">
        <f>Batting!I40+Bowling!I40+Fielding!I40</f>
        <v>0</v>
      </c>
      <c r="F35" s="3">
        <f>Batting!K40+Bowling!K40+Fielding!K40</f>
        <v>0</v>
      </c>
      <c r="G35" s="3">
        <f>Batting!M40+Bowling!M40+Fielding!M40</f>
        <v>0</v>
      </c>
      <c r="H35" s="3">
        <f>Batting!O40+Bowling!O40+Fielding!O40</f>
        <v>0</v>
      </c>
      <c r="I35" s="3">
        <f t="shared" si="3"/>
        <v>61</v>
      </c>
    </row>
  </sheetData>
  <mergeCells count="1">
    <mergeCell ref="D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B2:E32"/>
  <sheetViews>
    <sheetView topLeftCell="A8" workbookViewId="0">
      <selection activeCell="H31" sqref="H31"/>
    </sheetView>
  </sheetViews>
  <sheetFormatPr defaultRowHeight="15"/>
  <cols>
    <col min="2" max="2" width="16.140625" bestFit="1" customWidth="1"/>
  </cols>
  <sheetData>
    <row r="2" spans="2:5" ht="15.75" thickBot="1">
      <c r="B2" s="41" t="s">
        <v>4</v>
      </c>
      <c r="C2" s="41" t="s">
        <v>33</v>
      </c>
      <c r="D2" s="41" t="s">
        <v>43</v>
      </c>
    </row>
    <row r="3" spans="2:5">
      <c r="B3" s="43" t="s">
        <v>57</v>
      </c>
      <c r="C3" s="44">
        <v>20</v>
      </c>
      <c r="D3" s="45" t="s">
        <v>40</v>
      </c>
      <c r="E3" s="129" t="s">
        <v>44</v>
      </c>
    </row>
    <row r="4" spans="2:5">
      <c r="B4" s="11" t="s">
        <v>58</v>
      </c>
      <c r="C4" s="3">
        <v>18</v>
      </c>
      <c r="D4" s="12" t="s">
        <v>40</v>
      </c>
      <c r="E4" s="129"/>
    </row>
    <row r="5" spans="2:5">
      <c r="B5" s="11" t="s">
        <v>59</v>
      </c>
      <c r="C5" s="3">
        <v>10</v>
      </c>
      <c r="D5" s="12" t="s">
        <v>40</v>
      </c>
      <c r="E5" s="129"/>
    </row>
    <row r="6" spans="2:5">
      <c r="B6" s="11" t="s">
        <v>60</v>
      </c>
      <c r="C6" s="3">
        <v>8</v>
      </c>
      <c r="D6" s="12" t="s">
        <v>40</v>
      </c>
      <c r="E6" s="129"/>
    </row>
    <row r="7" spans="2:5">
      <c r="B7" s="11" t="s">
        <v>82</v>
      </c>
      <c r="C7" s="3">
        <v>9</v>
      </c>
      <c r="D7" s="12" t="s">
        <v>40</v>
      </c>
      <c r="E7" s="129"/>
    </row>
    <row r="8" spans="2:5">
      <c r="B8" s="11" t="s">
        <v>61</v>
      </c>
      <c r="C8" s="3">
        <v>7</v>
      </c>
      <c r="D8" s="12" t="s">
        <v>40</v>
      </c>
      <c r="E8" s="129"/>
    </row>
    <row r="9" spans="2:5">
      <c r="B9" s="11" t="s">
        <v>62</v>
      </c>
      <c r="C9" s="3">
        <v>14</v>
      </c>
      <c r="D9" s="12" t="s">
        <v>41</v>
      </c>
      <c r="E9" s="129"/>
    </row>
    <row r="10" spans="2:5">
      <c r="B10" s="11" t="s">
        <v>63</v>
      </c>
      <c r="C10" s="3">
        <v>9</v>
      </c>
      <c r="D10" s="12" t="s">
        <v>45</v>
      </c>
      <c r="E10" s="129"/>
    </row>
    <row r="11" spans="2:5">
      <c r="B11" s="11" t="s">
        <v>64</v>
      </c>
      <c r="C11" s="3">
        <v>5</v>
      </c>
      <c r="D11" s="12" t="s">
        <v>42</v>
      </c>
      <c r="E11" s="129"/>
    </row>
    <row r="12" spans="2:5">
      <c r="B12" s="11" t="s">
        <v>65</v>
      </c>
      <c r="C12" s="3">
        <v>3</v>
      </c>
      <c r="D12" s="12" t="s">
        <v>45</v>
      </c>
      <c r="E12" s="129"/>
    </row>
    <row r="13" spans="2:5">
      <c r="B13" s="11" t="s">
        <v>66</v>
      </c>
      <c r="C13" s="3">
        <v>6</v>
      </c>
      <c r="D13" s="12" t="s">
        <v>42</v>
      </c>
      <c r="E13" s="129"/>
    </row>
    <row r="14" spans="2:5">
      <c r="B14" s="11" t="s">
        <v>67</v>
      </c>
      <c r="C14" s="3">
        <v>12</v>
      </c>
      <c r="D14" s="12" t="s">
        <v>42</v>
      </c>
      <c r="E14" s="129"/>
    </row>
    <row r="15" spans="2:5">
      <c r="B15" s="11" t="s">
        <v>68</v>
      </c>
      <c r="C15" s="3">
        <v>10</v>
      </c>
      <c r="D15" s="12" t="s">
        <v>42</v>
      </c>
      <c r="E15" s="129"/>
    </row>
    <row r="16" spans="2:5">
      <c r="B16" s="11" t="s">
        <v>69</v>
      </c>
      <c r="C16" s="3">
        <v>6</v>
      </c>
      <c r="D16" s="12" t="s">
        <v>42</v>
      </c>
      <c r="E16" s="129"/>
    </row>
    <row r="17" spans="2:5" ht="15.75" thickBot="1">
      <c r="B17" s="13" t="s">
        <v>70</v>
      </c>
      <c r="C17" s="14">
        <v>8</v>
      </c>
      <c r="D17" s="15" t="s">
        <v>42</v>
      </c>
      <c r="E17" s="129"/>
    </row>
    <row r="18" spans="2:5">
      <c r="B18" s="43" t="s">
        <v>71</v>
      </c>
      <c r="C18" s="44">
        <v>16</v>
      </c>
      <c r="D18" s="45" t="s">
        <v>40</v>
      </c>
      <c r="E18" s="129" t="s">
        <v>56</v>
      </c>
    </row>
    <row r="19" spans="2:5">
      <c r="B19" s="11" t="s">
        <v>72</v>
      </c>
      <c r="C19" s="3">
        <v>14</v>
      </c>
      <c r="D19" s="12" t="s">
        <v>40</v>
      </c>
      <c r="E19" s="129"/>
    </row>
    <row r="20" spans="2:5">
      <c r="B20" s="11" t="s">
        <v>73</v>
      </c>
      <c r="C20" s="3">
        <v>20</v>
      </c>
      <c r="D20" s="12" t="s">
        <v>45</v>
      </c>
      <c r="E20" s="129"/>
    </row>
    <row r="21" spans="2:5">
      <c r="B21" s="11" t="s">
        <v>74</v>
      </c>
      <c r="C21" s="3">
        <v>15</v>
      </c>
      <c r="D21" s="12" t="s">
        <v>40</v>
      </c>
      <c r="E21" s="129"/>
    </row>
    <row r="22" spans="2:5">
      <c r="B22" s="11" t="s">
        <v>52</v>
      </c>
      <c r="C22" s="3">
        <v>6</v>
      </c>
      <c r="D22" s="12" t="s">
        <v>45</v>
      </c>
      <c r="E22" s="129"/>
    </row>
    <row r="23" spans="2:5">
      <c r="B23" s="11" t="s">
        <v>53</v>
      </c>
      <c r="C23" s="3">
        <v>5</v>
      </c>
      <c r="D23" s="12" t="s">
        <v>42</v>
      </c>
      <c r="E23" s="129"/>
    </row>
    <row r="24" spans="2:5">
      <c r="B24" s="11" t="s">
        <v>54</v>
      </c>
      <c r="C24" s="3">
        <v>8</v>
      </c>
      <c r="D24" s="12" t="s">
        <v>40</v>
      </c>
      <c r="E24" s="129"/>
    </row>
    <row r="25" spans="2:5">
      <c r="B25" s="11" t="s">
        <v>75</v>
      </c>
      <c r="C25" s="3">
        <v>12</v>
      </c>
      <c r="D25" s="12" t="s">
        <v>40</v>
      </c>
      <c r="E25" s="129"/>
    </row>
    <row r="26" spans="2:5">
      <c r="B26" s="11" t="s">
        <v>76</v>
      </c>
      <c r="C26" s="3">
        <v>5</v>
      </c>
      <c r="D26" s="12" t="s">
        <v>42</v>
      </c>
      <c r="E26" s="129"/>
    </row>
    <row r="27" spans="2:5">
      <c r="B27" s="11" t="s">
        <v>77</v>
      </c>
      <c r="C27" s="3">
        <v>12</v>
      </c>
      <c r="D27" s="12" t="s">
        <v>42</v>
      </c>
      <c r="E27" s="129"/>
    </row>
    <row r="28" spans="2:5">
      <c r="B28" s="11" t="s">
        <v>55</v>
      </c>
      <c r="C28" s="3">
        <v>10</v>
      </c>
      <c r="D28" s="12" t="s">
        <v>41</v>
      </c>
      <c r="E28" s="129"/>
    </row>
    <row r="29" spans="2:5">
      <c r="B29" s="11" t="s">
        <v>78</v>
      </c>
      <c r="C29" s="3">
        <v>8</v>
      </c>
      <c r="D29" s="12" t="s">
        <v>42</v>
      </c>
      <c r="E29" s="129"/>
    </row>
    <row r="30" spans="2:5">
      <c r="B30" s="11" t="s">
        <v>79</v>
      </c>
      <c r="C30" s="3">
        <v>18</v>
      </c>
      <c r="D30" s="12" t="s">
        <v>42</v>
      </c>
      <c r="E30" s="129"/>
    </row>
    <row r="31" spans="2:5">
      <c r="B31" s="11" t="s">
        <v>80</v>
      </c>
      <c r="C31" s="3">
        <v>16</v>
      </c>
      <c r="D31" s="12" t="s">
        <v>42</v>
      </c>
      <c r="E31" s="129"/>
    </row>
    <row r="32" spans="2:5" ht="15.75" thickBot="1">
      <c r="B32" s="13" t="s">
        <v>81</v>
      </c>
      <c r="C32" s="14">
        <v>13</v>
      </c>
      <c r="D32" s="15" t="s">
        <v>42</v>
      </c>
      <c r="E32" s="129"/>
    </row>
  </sheetData>
  <mergeCells count="2">
    <mergeCell ref="E3:E17"/>
    <mergeCell ref="E18:E3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N7"/>
  <sheetViews>
    <sheetView workbookViewId="0">
      <selection activeCell="D16" sqref="D16"/>
    </sheetView>
  </sheetViews>
  <sheetFormatPr defaultRowHeight="15"/>
  <cols>
    <col min="1" max="1" width="9.7109375" style="20" bestFit="1" customWidth="1"/>
    <col min="2" max="2" width="6.85546875" style="20" bestFit="1" customWidth="1"/>
    <col min="3" max="3" width="16.140625" bestFit="1" customWidth="1"/>
    <col min="4" max="4" width="16.28515625" bestFit="1" customWidth="1"/>
    <col min="5" max="5" width="16" bestFit="1" customWidth="1"/>
    <col min="6" max="6" width="15.42578125" bestFit="1" customWidth="1"/>
    <col min="7" max="7" width="15.140625" bestFit="1" customWidth="1"/>
    <col min="8" max="8" width="16" bestFit="1" customWidth="1"/>
    <col min="9" max="9" width="11.28515625" bestFit="1" customWidth="1"/>
    <col min="10" max="10" width="13.7109375" bestFit="1" customWidth="1"/>
    <col min="11" max="11" width="15.42578125" bestFit="1" customWidth="1"/>
    <col min="12" max="12" width="12.85546875" bestFit="1" customWidth="1"/>
    <col min="13" max="13" width="14.5703125" bestFit="1" customWidth="1"/>
  </cols>
  <sheetData>
    <row r="1" spans="1:14">
      <c r="A1" s="21" t="s">
        <v>26</v>
      </c>
      <c r="B1" s="21" t="s">
        <v>5</v>
      </c>
      <c r="C1" s="22" t="s">
        <v>27</v>
      </c>
      <c r="D1" s="22" t="s">
        <v>28</v>
      </c>
      <c r="E1" s="22" t="s">
        <v>29</v>
      </c>
      <c r="F1" s="22" t="s">
        <v>30</v>
      </c>
      <c r="G1" s="22" t="s">
        <v>31</v>
      </c>
      <c r="H1" s="22" t="s">
        <v>89</v>
      </c>
      <c r="I1" s="22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21</v>
      </c>
    </row>
    <row r="2" spans="1:14">
      <c r="A2" s="20">
        <v>40562</v>
      </c>
      <c r="B2" s="20" t="s">
        <v>83</v>
      </c>
      <c r="C2" t="s">
        <v>57</v>
      </c>
      <c r="D2" t="s">
        <v>58</v>
      </c>
      <c r="E2" t="s">
        <v>59</v>
      </c>
      <c r="F2" t="s">
        <v>60</v>
      </c>
      <c r="G2" t="s">
        <v>82</v>
      </c>
      <c r="H2" t="s">
        <v>62</v>
      </c>
      <c r="I2" t="s">
        <v>61</v>
      </c>
      <c r="J2" t="s">
        <v>63</v>
      </c>
      <c r="K2" t="s">
        <v>67</v>
      </c>
      <c r="L2" t="s">
        <v>68</v>
      </c>
      <c r="M2" t="s">
        <v>69</v>
      </c>
      <c r="N2">
        <v>745</v>
      </c>
    </row>
    <row r="3" spans="1:14">
      <c r="A3" s="20">
        <v>40562</v>
      </c>
      <c r="B3" s="20" t="s">
        <v>84</v>
      </c>
      <c r="C3" t="s">
        <v>68</v>
      </c>
      <c r="D3" t="s">
        <v>82</v>
      </c>
      <c r="E3" t="s">
        <v>63</v>
      </c>
      <c r="F3" t="s">
        <v>69</v>
      </c>
      <c r="G3" t="s">
        <v>55</v>
      </c>
      <c r="H3" t="s">
        <v>58</v>
      </c>
      <c r="I3" t="s">
        <v>60</v>
      </c>
      <c r="J3" t="s">
        <v>61</v>
      </c>
      <c r="K3" t="s">
        <v>67</v>
      </c>
      <c r="L3" t="s">
        <v>52</v>
      </c>
      <c r="M3" t="s">
        <v>76</v>
      </c>
      <c r="N3">
        <v>597</v>
      </c>
    </row>
    <row r="4" spans="1:14">
      <c r="A4" s="20">
        <v>40562</v>
      </c>
      <c r="B4" s="20" t="s">
        <v>85</v>
      </c>
      <c r="C4" t="s">
        <v>79</v>
      </c>
      <c r="D4" t="s">
        <v>59</v>
      </c>
      <c r="E4" t="s">
        <v>61</v>
      </c>
      <c r="F4" t="s">
        <v>67</v>
      </c>
      <c r="G4" t="s">
        <v>62</v>
      </c>
      <c r="H4" t="s">
        <v>78</v>
      </c>
      <c r="I4" t="s">
        <v>60</v>
      </c>
      <c r="J4" t="s">
        <v>63</v>
      </c>
      <c r="K4" t="s">
        <v>71</v>
      </c>
      <c r="L4" t="s">
        <v>52</v>
      </c>
      <c r="M4" t="s">
        <v>76</v>
      </c>
      <c r="N4">
        <v>685</v>
      </c>
    </row>
    <row r="5" spans="1:14">
      <c r="A5" s="20">
        <v>40562</v>
      </c>
      <c r="B5" s="20" t="s">
        <v>86</v>
      </c>
      <c r="C5" t="s">
        <v>68</v>
      </c>
      <c r="D5" t="s">
        <v>62</v>
      </c>
      <c r="E5" t="s">
        <v>66</v>
      </c>
      <c r="F5" t="s">
        <v>72</v>
      </c>
      <c r="G5" t="s">
        <v>55</v>
      </c>
      <c r="H5" t="s">
        <v>59</v>
      </c>
      <c r="I5" t="s">
        <v>60</v>
      </c>
      <c r="J5" t="s">
        <v>61</v>
      </c>
      <c r="K5" t="s">
        <v>67</v>
      </c>
      <c r="L5" t="s">
        <v>52</v>
      </c>
      <c r="M5" t="s">
        <v>76</v>
      </c>
      <c r="N5">
        <v>461</v>
      </c>
    </row>
    <row r="6" spans="1:14">
      <c r="A6" s="20">
        <v>40562</v>
      </c>
      <c r="B6" s="20" t="s">
        <v>87</v>
      </c>
      <c r="C6" t="s">
        <v>75</v>
      </c>
      <c r="D6" t="s">
        <v>64</v>
      </c>
      <c r="E6" t="s">
        <v>63</v>
      </c>
      <c r="F6" t="s">
        <v>79</v>
      </c>
      <c r="G6" t="s">
        <v>55</v>
      </c>
      <c r="H6" t="s">
        <v>74</v>
      </c>
      <c r="I6" t="s">
        <v>60</v>
      </c>
      <c r="J6" t="s">
        <v>61</v>
      </c>
      <c r="K6" t="s">
        <v>67</v>
      </c>
      <c r="L6" t="s">
        <v>52</v>
      </c>
      <c r="M6" t="s">
        <v>76</v>
      </c>
      <c r="N6">
        <v>616</v>
      </c>
    </row>
    <row r="7" spans="1:14">
      <c r="A7" s="20">
        <v>40562</v>
      </c>
      <c r="B7" s="20" t="s">
        <v>88</v>
      </c>
      <c r="C7" t="s">
        <v>78</v>
      </c>
      <c r="D7" t="s">
        <v>63</v>
      </c>
      <c r="E7" t="s">
        <v>58</v>
      </c>
      <c r="F7" t="s">
        <v>68</v>
      </c>
      <c r="G7" t="s">
        <v>55</v>
      </c>
      <c r="H7" t="s">
        <v>75</v>
      </c>
      <c r="I7" t="s">
        <v>60</v>
      </c>
      <c r="J7" t="s">
        <v>61</v>
      </c>
      <c r="K7" t="s">
        <v>67</v>
      </c>
      <c r="L7" t="s">
        <v>52</v>
      </c>
      <c r="M7" t="s">
        <v>76</v>
      </c>
      <c r="N7">
        <v>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G7"/>
  <sheetViews>
    <sheetView workbookViewId="0">
      <selection activeCell="H13" sqref="H13"/>
    </sheetView>
  </sheetViews>
  <sheetFormatPr defaultRowHeight="15"/>
  <sheetData>
    <row r="1" spans="1:7">
      <c r="A1" s="32" t="s">
        <v>5</v>
      </c>
      <c r="B1" s="33">
        <v>40562</v>
      </c>
      <c r="C1" s="33">
        <v>40563</v>
      </c>
      <c r="D1" s="33">
        <v>40564</v>
      </c>
      <c r="E1" s="33">
        <v>40565</v>
      </c>
      <c r="F1" s="33">
        <v>40566</v>
      </c>
      <c r="G1" s="33" t="s">
        <v>32</v>
      </c>
    </row>
    <row r="2" spans="1:7">
      <c r="A2" t="s">
        <v>83</v>
      </c>
      <c r="B2">
        <v>745</v>
      </c>
      <c r="G2">
        <f t="shared" ref="G2:G7" si="0">SUM(B2:F2)</f>
        <v>745</v>
      </c>
    </row>
    <row r="3" spans="1:7">
      <c r="A3" t="s">
        <v>84</v>
      </c>
      <c r="B3">
        <v>597</v>
      </c>
      <c r="G3">
        <f t="shared" si="0"/>
        <v>597</v>
      </c>
    </row>
    <row r="4" spans="1:7">
      <c r="A4" t="s">
        <v>85</v>
      </c>
      <c r="B4">
        <v>685</v>
      </c>
      <c r="G4">
        <f t="shared" si="0"/>
        <v>685</v>
      </c>
    </row>
    <row r="5" spans="1:7">
      <c r="A5" t="s">
        <v>86</v>
      </c>
      <c r="B5">
        <v>461</v>
      </c>
      <c r="G5">
        <f t="shared" si="0"/>
        <v>461</v>
      </c>
    </row>
    <row r="6" spans="1:7">
      <c r="A6" t="s">
        <v>87</v>
      </c>
      <c r="B6">
        <v>616</v>
      </c>
      <c r="G6">
        <f t="shared" si="0"/>
        <v>616</v>
      </c>
    </row>
    <row r="7" spans="1:7">
      <c r="A7" t="s">
        <v>88</v>
      </c>
      <c r="B7">
        <v>600</v>
      </c>
      <c r="G7">
        <f t="shared" si="0"/>
        <v>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D265"/>
  <sheetViews>
    <sheetView workbookViewId="0">
      <selection activeCell="K16" sqref="K16"/>
    </sheetView>
  </sheetViews>
  <sheetFormatPr defaultRowHeight="15"/>
  <cols>
    <col min="2" max="2" width="8.7109375" bestFit="1" customWidth="1"/>
    <col min="3" max="3" width="16.28515625" bestFit="1" customWidth="1"/>
    <col min="4" max="4" width="15.42578125" bestFit="1" customWidth="1"/>
  </cols>
  <sheetData>
    <row r="1" spans="1:4">
      <c r="A1" s="32" t="s">
        <v>5</v>
      </c>
      <c r="B1" s="32" t="s">
        <v>26</v>
      </c>
      <c r="C1" s="32" t="s">
        <v>36</v>
      </c>
      <c r="D1" s="32" t="s">
        <v>37</v>
      </c>
    </row>
    <row r="2" spans="1:4">
      <c r="B2" s="50"/>
    </row>
    <row r="3" spans="1:4">
      <c r="B3" s="50"/>
    </row>
    <row r="4" spans="1:4">
      <c r="B4" s="50"/>
    </row>
    <row r="5" spans="1:4">
      <c r="B5" s="50"/>
    </row>
    <row r="6" spans="1:4">
      <c r="B6" s="50"/>
    </row>
    <row r="7" spans="1:4">
      <c r="B7" s="50"/>
    </row>
    <row r="8" spans="1:4">
      <c r="B8" s="50"/>
    </row>
    <row r="9" spans="1:4">
      <c r="B9" s="50"/>
    </row>
    <row r="10" spans="1:4">
      <c r="B10" s="50"/>
    </row>
    <row r="11" spans="1:4">
      <c r="B11" s="50"/>
    </row>
    <row r="12" spans="1:4">
      <c r="B12" s="50"/>
    </row>
    <row r="13" spans="1:4">
      <c r="B13" s="50"/>
    </row>
    <row r="14" spans="1:4">
      <c r="B14" s="50"/>
    </row>
    <row r="15" spans="1:4">
      <c r="B15" s="50"/>
    </row>
    <row r="16" spans="1:4">
      <c r="B16" s="50"/>
    </row>
    <row r="17" spans="2:2">
      <c r="B17" s="50"/>
    </row>
    <row r="18" spans="2:2">
      <c r="B18" s="50"/>
    </row>
    <row r="19" spans="2:2">
      <c r="B19" s="50"/>
    </row>
    <row r="20" spans="2:2">
      <c r="B20" s="50"/>
    </row>
    <row r="21" spans="2:2">
      <c r="B21" s="50"/>
    </row>
    <row r="22" spans="2:2">
      <c r="B22" s="50"/>
    </row>
    <row r="23" spans="2:2">
      <c r="B23" s="50"/>
    </row>
    <row r="24" spans="2:2">
      <c r="B24" s="50"/>
    </row>
    <row r="25" spans="2:2">
      <c r="B25" s="50"/>
    </row>
    <row r="26" spans="2:2">
      <c r="B26" s="50"/>
    </row>
    <row r="27" spans="2:2">
      <c r="B27" s="50"/>
    </row>
    <row r="28" spans="2:2">
      <c r="B28" s="50"/>
    </row>
    <row r="29" spans="2:2">
      <c r="B29" s="50"/>
    </row>
    <row r="30" spans="2:2">
      <c r="B30" s="50"/>
    </row>
    <row r="31" spans="2:2">
      <c r="B31" s="50"/>
    </row>
    <row r="32" spans="2:2">
      <c r="B32" s="50"/>
    </row>
    <row r="33" spans="2:2">
      <c r="B33" s="50"/>
    </row>
    <row r="34" spans="2:2">
      <c r="B34" s="50"/>
    </row>
    <row r="35" spans="2:2">
      <c r="B35" s="50"/>
    </row>
    <row r="36" spans="2:2">
      <c r="B36" s="50"/>
    </row>
    <row r="37" spans="2:2">
      <c r="B37" s="50"/>
    </row>
    <row r="38" spans="2:2">
      <c r="B38" s="50"/>
    </row>
    <row r="39" spans="2:2">
      <c r="B39" s="50"/>
    </row>
    <row r="40" spans="2:2">
      <c r="B40" s="50"/>
    </row>
    <row r="41" spans="2:2">
      <c r="B41" s="50"/>
    </row>
    <row r="42" spans="2:2">
      <c r="B42" s="50"/>
    </row>
    <row r="43" spans="2:2">
      <c r="B43" s="50"/>
    </row>
    <row r="44" spans="2:2">
      <c r="B44" s="50"/>
    </row>
    <row r="45" spans="2:2">
      <c r="B45" s="50"/>
    </row>
    <row r="46" spans="2:2">
      <c r="B46" s="50"/>
    </row>
    <row r="47" spans="2:2">
      <c r="B47" s="50"/>
    </row>
    <row r="48" spans="2:2">
      <c r="B48" s="50"/>
    </row>
    <row r="49" spans="2:2">
      <c r="B49" s="50"/>
    </row>
    <row r="50" spans="2:2">
      <c r="B50" s="50"/>
    </row>
    <row r="51" spans="2:2">
      <c r="B51" s="50"/>
    </row>
    <row r="52" spans="2:2">
      <c r="B52" s="50"/>
    </row>
    <row r="53" spans="2:2">
      <c r="B53" s="50"/>
    </row>
    <row r="54" spans="2:2">
      <c r="B54" s="50"/>
    </row>
    <row r="55" spans="2:2">
      <c r="B55" s="50"/>
    </row>
    <row r="56" spans="2:2">
      <c r="B56" s="50"/>
    </row>
    <row r="57" spans="2:2">
      <c r="B57" s="50"/>
    </row>
    <row r="58" spans="2:2">
      <c r="B58" s="50"/>
    </row>
    <row r="59" spans="2:2">
      <c r="B59" s="50"/>
    </row>
    <row r="60" spans="2:2">
      <c r="B60" s="50"/>
    </row>
    <row r="61" spans="2:2">
      <c r="B61" s="50"/>
    </row>
    <row r="62" spans="2:2">
      <c r="B62" s="50"/>
    </row>
    <row r="63" spans="2:2">
      <c r="B63" s="50"/>
    </row>
    <row r="64" spans="2:2">
      <c r="B64" s="50"/>
    </row>
    <row r="65" spans="2:4">
      <c r="B65" s="50"/>
    </row>
    <row r="66" spans="2:4">
      <c r="B66" s="50"/>
    </row>
    <row r="67" spans="2:4">
      <c r="B67" s="50"/>
    </row>
    <row r="68" spans="2:4">
      <c r="B68" s="50">
        <v>40578</v>
      </c>
      <c r="D68" t="s">
        <v>57</v>
      </c>
    </row>
    <row r="69" spans="2:4">
      <c r="B69" s="50">
        <v>40578</v>
      </c>
      <c r="D69" t="s">
        <v>58</v>
      </c>
    </row>
    <row r="70" spans="2:4">
      <c r="B70" s="50">
        <v>40578</v>
      </c>
      <c r="D70" t="s">
        <v>59</v>
      </c>
    </row>
    <row r="71" spans="2:4">
      <c r="B71" s="50">
        <v>40578</v>
      </c>
      <c r="D71" t="s">
        <v>60</v>
      </c>
    </row>
    <row r="72" spans="2:4">
      <c r="B72" s="50">
        <v>40578</v>
      </c>
      <c r="D72" t="s">
        <v>82</v>
      </c>
    </row>
    <row r="73" spans="2:4">
      <c r="B73" s="50">
        <v>40578</v>
      </c>
      <c r="D73" t="s">
        <v>62</v>
      </c>
    </row>
    <row r="74" spans="2:4">
      <c r="B74" s="50">
        <v>40578</v>
      </c>
      <c r="D74" t="s">
        <v>61</v>
      </c>
    </row>
    <row r="75" spans="2:4">
      <c r="B75" s="50">
        <v>40578</v>
      </c>
      <c r="D75" t="s">
        <v>63</v>
      </c>
    </row>
    <row r="76" spans="2:4">
      <c r="B76" s="50">
        <v>40578</v>
      </c>
      <c r="D76" t="s">
        <v>67</v>
      </c>
    </row>
    <row r="77" spans="2:4">
      <c r="B77" s="50">
        <v>40578</v>
      </c>
      <c r="D77" t="s">
        <v>68</v>
      </c>
    </row>
    <row r="78" spans="2:4">
      <c r="B78" s="50">
        <v>40578</v>
      </c>
      <c r="D78" t="s">
        <v>69</v>
      </c>
    </row>
    <row r="79" spans="2:4">
      <c r="B79" s="50">
        <v>40578</v>
      </c>
      <c r="D79" t="s">
        <v>68</v>
      </c>
    </row>
    <row r="80" spans="2:4">
      <c r="B80" s="50">
        <v>40578</v>
      </c>
      <c r="D80" t="s">
        <v>82</v>
      </c>
    </row>
    <row r="81" spans="2:4">
      <c r="B81" s="50">
        <v>40578</v>
      </c>
      <c r="D81" t="s">
        <v>63</v>
      </c>
    </row>
    <row r="82" spans="2:4">
      <c r="B82" s="50">
        <v>40578</v>
      </c>
      <c r="D82" t="s">
        <v>69</v>
      </c>
    </row>
    <row r="83" spans="2:4">
      <c r="B83" s="50">
        <v>40578</v>
      </c>
      <c r="D83" t="s">
        <v>55</v>
      </c>
    </row>
    <row r="84" spans="2:4">
      <c r="B84" s="50">
        <v>40578</v>
      </c>
      <c r="D84" t="s">
        <v>58</v>
      </c>
    </row>
    <row r="85" spans="2:4">
      <c r="B85" s="50">
        <v>40578</v>
      </c>
      <c r="D85" t="s">
        <v>60</v>
      </c>
    </row>
    <row r="86" spans="2:4">
      <c r="B86" s="50">
        <v>40578</v>
      </c>
      <c r="D86" t="s">
        <v>61</v>
      </c>
    </row>
    <row r="87" spans="2:4">
      <c r="B87" s="50">
        <v>40578</v>
      </c>
      <c r="D87" t="s">
        <v>67</v>
      </c>
    </row>
    <row r="88" spans="2:4">
      <c r="B88" s="50">
        <v>40578</v>
      </c>
      <c r="D88" t="s">
        <v>52</v>
      </c>
    </row>
    <row r="89" spans="2:4">
      <c r="B89" s="50">
        <v>40578</v>
      </c>
      <c r="D89" t="s">
        <v>76</v>
      </c>
    </row>
    <row r="90" spans="2:4">
      <c r="B90" s="50">
        <v>40578</v>
      </c>
      <c r="D90" t="s">
        <v>79</v>
      </c>
    </row>
    <row r="91" spans="2:4">
      <c r="B91" s="50">
        <v>40578</v>
      </c>
      <c r="D91" t="s">
        <v>57</v>
      </c>
    </row>
    <row r="92" spans="2:4">
      <c r="B92" s="50">
        <v>40578</v>
      </c>
      <c r="D92" t="s">
        <v>61</v>
      </c>
    </row>
    <row r="93" spans="2:4">
      <c r="B93" s="50">
        <v>40578</v>
      </c>
      <c r="D93" t="s">
        <v>67</v>
      </c>
    </row>
    <row r="94" spans="2:4">
      <c r="B94" s="50">
        <v>40578</v>
      </c>
      <c r="D94" t="s">
        <v>62</v>
      </c>
    </row>
    <row r="95" spans="2:4">
      <c r="B95" s="50">
        <v>40578</v>
      </c>
      <c r="D95" t="s">
        <v>78</v>
      </c>
    </row>
    <row r="96" spans="2:4">
      <c r="B96" s="50">
        <v>40578</v>
      </c>
      <c r="D96" t="s">
        <v>60</v>
      </c>
    </row>
    <row r="97" spans="2:4">
      <c r="B97" s="50">
        <v>40578</v>
      </c>
      <c r="D97" t="s">
        <v>63</v>
      </c>
    </row>
    <row r="98" spans="2:4">
      <c r="B98" s="50">
        <v>40578</v>
      </c>
      <c r="D98" t="s">
        <v>71</v>
      </c>
    </row>
    <row r="99" spans="2:4">
      <c r="B99" s="50">
        <v>40578</v>
      </c>
      <c r="D99" t="s">
        <v>52</v>
      </c>
    </row>
    <row r="100" spans="2:4">
      <c r="B100" s="50">
        <v>40578</v>
      </c>
      <c r="D100" t="s">
        <v>76</v>
      </c>
    </row>
    <row r="101" spans="2:4">
      <c r="B101" s="50">
        <v>40578</v>
      </c>
      <c r="D101" t="s">
        <v>68</v>
      </c>
    </row>
    <row r="102" spans="2:4">
      <c r="B102" s="50">
        <v>40578</v>
      </c>
      <c r="D102" t="s">
        <v>62</v>
      </c>
    </row>
    <row r="103" spans="2:4">
      <c r="B103" s="50">
        <v>40578</v>
      </c>
      <c r="D103" t="s">
        <v>66</v>
      </c>
    </row>
    <row r="104" spans="2:4">
      <c r="B104" s="50">
        <v>40578</v>
      </c>
      <c r="D104" t="s">
        <v>72</v>
      </c>
    </row>
    <row r="105" spans="2:4">
      <c r="B105" s="50">
        <v>40578</v>
      </c>
      <c r="D105" t="s">
        <v>55</v>
      </c>
    </row>
    <row r="106" spans="2:4">
      <c r="B106" s="50">
        <v>40578</v>
      </c>
      <c r="D106" t="s">
        <v>59</v>
      </c>
    </row>
    <row r="107" spans="2:4">
      <c r="B107" s="50">
        <v>40578</v>
      </c>
      <c r="D107" t="s">
        <v>60</v>
      </c>
    </row>
    <row r="108" spans="2:4">
      <c r="B108" s="50">
        <v>40578</v>
      </c>
      <c r="D108" t="s">
        <v>61</v>
      </c>
    </row>
    <row r="109" spans="2:4">
      <c r="B109" s="50">
        <v>40578</v>
      </c>
      <c r="D109" t="s">
        <v>67</v>
      </c>
    </row>
    <row r="110" spans="2:4">
      <c r="B110" s="50">
        <v>40578</v>
      </c>
      <c r="D110" t="s">
        <v>52</v>
      </c>
    </row>
    <row r="111" spans="2:4">
      <c r="B111" s="50">
        <v>40578</v>
      </c>
      <c r="D111" t="s">
        <v>76</v>
      </c>
    </row>
    <row r="112" spans="2:4">
      <c r="B112" s="50">
        <v>40578</v>
      </c>
      <c r="D112" t="s">
        <v>75</v>
      </c>
    </row>
    <row r="113" spans="2:4">
      <c r="B113" s="50">
        <v>40578</v>
      </c>
      <c r="D113" t="s">
        <v>64</v>
      </c>
    </row>
    <row r="114" spans="2:4">
      <c r="B114" s="50">
        <v>40578</v>
      </c>
      <c r="D114" t="s">
        <v>63</v>
      </c>
    </row>
    <row r="115" spans="2:4">
      <c r="B115" s="50">
        <v>40578</v>
      </c>
      <c r="D115" t="s">
        <v>79</v>
      </c>
    </row>
    <row r="116" spans="2:4">
      <c r="B116" s="50">
        <v>40578</v>
      </c>
      <c r="D116" t="s">
        <v>55</v>
      </c>
    </row>
    <row r="117" spans="2:4">
      <c r="B117" s="50">
        <v>40578</v>
      </c>
      <c r="D117" t="s">
        <v>74</v>
      </c>
    </row>
    <row r="118" spans="2:4">
      <c r="B118" s="50">
        <v>40578</v>
      </c>
      <c r="D118" t="s">
        <v>60</v>
      </c>
    </row>
    <row r="119" spans="2:4">
      <c r="B119" s="50">
        <v>40578</v>
      </c>
      <c r="D119" t="s">
        <v>61</v>
      </c>
    </row>
    <row r="120" spans="2:4">
      <c r="B120" s="50">
        <v>40578</v>
      </c>
      <c r="D120" t="s">
        <v>67</v>
      </c>
    </row>
    <row r="121" spans="2:4">
      <c r="B121" s="50">
        <v>40578</v>
      </c>
      <c r="D121" t="s">
        <v>52</v>
      </c>
    </row>
    <row r="122" spans="2:4">
      <c r="B122" s="50">
        <v>40578</v>
      </c>
      <c r="D122" t="s">
        <v>76</v>
      </c>
    </row>
    <row r="123" spans="2:4">
      <c r="B123" s="50">
        <v>40578</v>
      </c>
      <c r="D123" t="s">
        <v>78</v>
      </c>
    </row>
    <row r="124" spans="2:4">
      <c r="B124" s="50">
        <v>40578</v>
      </c>
      <c r="D124" t="s">
        <v>63</v>
      </c>
    </row>
    <row r="125" spans="2:4">
      <c r="B125" s="50">
        <v>40578</v>
      </c>
      <c r="D125" t="s">
        <v>58</v>
      </c>
    </row>
    <row r="126" spans="2:4">
      <c r="B126" s="50">
        <v>40578</v>
      </c>
      <c r="D126" t="s">
        <v>68</v>
      </c>
    </row>
    <row r="127" spans="2:4">
      <c r="B127" s="50">
        <v>40578</v>
      </c>
      <c r="D127" t="s">
        <v>55</v>
      </c>
    </row>
    <row r="128" spans="2:4">
      <c r="B128" s="50">
        <v>40578</v>
      </c>
      <c r="D128" t="s">
        <v>75</v>
      </c>
    </row>
    <row r="129" spans="2:4">
      <c r="B129" s="50">
        <v>40578</v>
      </c>
      <c r="D129" t="s">
        <v>60</v>
      </c>
    </row>
    <row r="130" spans="2:4">
      <c r="B130" s="50">
        <v>40578</v>
      </c>
      <c r="D130" t="s">
        <v>61</v>
      </c>
    </row>
    <row r="131" spans="2:4">
      <c r="B131" s="50">
        <v>40578</v>
      </c>
      <c r="D131" t="s">
        <v>67</v>
      </c>
    </row>
    <row r="132" spans="2:4">
      <c r="B132" s="50">
        <v>40578</v>
      </c>
      <c r="D132" t="s">
        <v>52</v>
      </c>
    </row>
    <row r="133" spans="2:4">
      <c r="B133" s="50">
        <v>40578</v>
      </c>
      <c r="D133" t="s">
        <v>76</v>
      </c>
    </row>
    <row r="134" spans="2:4">
      <c r="B134" s="50">
        <v>40578</v>
      </c>
      <c r="D134" t="s">
        <v>57</v>
      </c>
    </row>
    <row r="135" spans="2:4">
      <c r="B135" s="50">
        <v>40578</v>
      </c>
      <c r="D135" t="s">
        <v>58</v>
      </c>
    </row>
    <row r="136" spans="2:4">
      <c r="B136" s="50">
        <v>40578</v>
      </c>
      <c r="D136" t="s">
        <v>59</v>
      </c>
    </row>
    <row r="137" spans="2:4">
      <c r="B137" s="50">
        <v>40578</v>
      </c>
      <c r="D137" t="s">
        <v>60</v>
      </c>
    </row>
    <row r="138" spans="2:4">
      <c r="B138" s="50">
        <v>40578</v>
      </c>
      <c r="D138" t="s">
        <v>82</v>
      </c>
    </row>
    <row r="139" spans="2:4">
      <c r="B139" s="50">
        <v>40578</v>
      </c>
      <c r="D139" t="s">
        <v>62</v>
      </c>
    </row>
    <row r="140" spans="2:4">
      <c r="B140" s="50">
        <v>40578</v>
      </c>
      <c r="D140" t="s">
        <v>61</v>
      </c>
    </row>
    <row r="141" spans="2:4">
      <c r="B141" s="50">
        <v>40578</v>
      </c>
      <c r="D141" t="s">
        <v>63</v>
      </c>
    </row>
    <row r="142" spans="2:4">
      <c r="B142" s="50">
        <v>40578</v>
      </c>
      <c r="D142" t="s">
        <v>67</v>
      </c>
    </row>
    <row r="143" spans="2:4">
      <c r="B143" s="50">
        <v>40578</v>
      </c>
      <c r="D143" t="s">
        <v>68</v>
      </c>
    </row>
    <row r="144" spans="2:4">
      <c r="B144" s="50">
        <v>40578</v>
      </c>
      <c r="D144" t="s">
        <v>69</v>
      </c>
    </row>
    <row r="145" spans="2:4">
      <c r="B145" s="50">
        <v>40578</v>
      </c>
      <c r="D145" t="s">
        <v>68</v>
      </c>
    </row>
    <row r="146" spans="2:4">
      <c r="B146" s="50">
        <v>40578</v>
      </c>
      <c r="D146" t="s">
        <v>82</v>
      </c>
    </row>
    <row r="147" spans="2:4">
      <c r="B147" s="50">
        <v>40578</v>
      </c>
      <c r="D147" t="s">
        <v>63</v>
      </c>
    </row>
    <row r="148" spans="2:4">
      <c r="B148" s="50">
        <v>40578</v>
      </c>
      <c r="D148" t="s">
        <v>69</v>
      </c>
    </row>
    <row r="149" spans="2:4">
      <c r="B149" s="50">
        <v>40578</v>
      </c>
      <c r="D149" t="s">
        <v>55</v>
      </c>
    </row>
    <row r="150" spans="2:4">
      <c r="B150" s="50">
        <v>40578</v>
      </c>
      <c r="D150" t="s">
        <v>58</v>
      </c>
    </row>
    <row r="151" spans="2:4">
      <c r="B151" s="50">
        <v>40578</v>
      </c>
      <c r="D151" t="s">
        <v>60</v>
      </c>
    </row>
    <row r="152" spans="2:4">
      <c r="B152" s="50">
        <v>40578</v>
      </c>
      <c r="D152" t="s">
        <v>61</v>
      </c>
    </row>
    <row r="153" spans="2:4">
      <c r="B153" s="50">
        <v>40578</v>
      </c>
      <c r="D153" t="s">
        <v>67</v>
      </c>
    </row>
    <row r="154" spans="2:4">
      <c r="B154" s="50">
        <v>40578</v>
      </c>
      <c r="D154" t="s">
        <v>52</v>
      </c>
    </row>
    <row r="155" spans="2:4">
      <c r="B155" s="50">
        <v>40578</v>
      </c>
      <c r="D155" t="s">
        <v>76</v>
      </c>
    </row>
    <row r="156" spans="2:4">
      <c r="B156" s="50">
        <v>40578</v>
      </c>
      <c r="D156" t="s">
        <v>79</v>
      </c>
    </row>
    <row r="157" spans="2:4">
      <c r="B157" s="50">
        <v>40578</v>
      </c>
      <c r="D157" t="s">
        <v>57</v>
      </c>
    </row>
    <row r="158" spans="2:4">
      <c r="B158" s="50">
        <v>40578</v>
      </c>
      <c r="D158" t="s">
        <v>61</v>
      </c>
    </row>
    <row r="159" spans="2:4">
      <c r="B159" s="50">
        <v>40578</v>
      </c>
      <c r="D159" t="s">
        <v>67</v>
      </c>
    </row>
    <row r="160" spans="2:4">
      <c r="B160" s="50">
        <v>40578</v>
      </c>
      <c r="D160" t="s">
        <v>62</v>
      </c>
    </row>
    <row r="161" spans="2:4">
      <c r="B161" s="50">
        <v>40578</v>
      </c>
      <c r="D161" t="s">
        <v>78</v>
      </c>
    </row>
    <row r="162" spans="2:4">
      <c r="B162" s="50">
        <v>40578</v>
      </c>
      <c r="D162" t="s">
        <v>60</v>
      </c>
    </row>
    <row r="163" spans="2:4">
      <c r="B163" s="50">
        <v>40578</v>
      </c>
      <c r="D163" t="s">
        <v>63</v>
      </c>
    </row>
    <row r="164" spans="2:4">
      <c r="B164" s="50">
        <v>40578</v>
      </c>
      <c r="D164" t="s">
        <v>71</v>
      </c>
    </row>
    <row r="165" spans="2:4">
      <c r="B165" s="50">
        <v>40578</v>
      </c>
      <c r="D165" t="s">
        <v>52</v>
      </c>
    </row>
    <row r="166" spans="2:4">
      <c r="B166" s="50">
        <v>40578</v>
      </c>
      <c r="D166" t="s">
        <v>76</v>
      </c>
    </row>
    <row r="167" spans="2:4">
      <c r="B167" s="50">
        <v>40578</v>
      </c>
      <c r="D167" t="s">
        <v>68</v>
      </c>
    </row>
    <row r="168" spans="2:4">
      <c r="B168" s="50">
        <v>40578</v>
      </c>
      <c r="D168" t="s">
        <v>62</v>
      </c>
    </row>
    <row r="169" spans="2:4">
      <c r="B169" s="50">
        <v>40578</v>
      </c>
      <c r="D169" t="s">
        <v>66</v>
      </c>
    </row>
    <row r="170" spans="2:4">
      <c r="B170" s="50">
        <v>40578</v>
      </c>
      <c r="D170" t="s">
        <v>72</v>
      </c>
    </row>
    <row r="171" spans="2:4">
      <c r="B171" s="50">
        <v>40578</v>
      </c>
      <c r="D171" t="s">
        <v>55</v>
      </c>
    </row>
    <row r="172" spans="2:4">
      <c r="B172" s="50">
        <v>40578</v>
      </c>
      <c r="D172" t="s">
        <v>59</v>
      </c>
    </row>
    <row r="173" spans="2:4">
      <c r="B173" s="50">
        <v>40578</v>
      </c>
      <c r="D173" t="s">
        <v>60</v>
      </c>
    </row>
    <row r="174" spans="2:4">
      <c r="B174" s="50">
        <v>40578</v>
      </c>
      <c r="D174" t="s">
        <v>61</v>
      </c>
    </row>
    <row r="175" spans="2:4">
      <c r="B175" s="50">
        <v>40578</v>
      </c>
      <c r="D175" t="s">
        <v>67</v>
      </c>
    </row>
    <row r="176" spans="2:4">
      <c r="B176" s="50">
        <v>40578</v>
      </c>
      <c r="D176" t="s">
        <v>52</v>
      </c>
    </row>
    <row r="177" spans="2:4">
      <c r="B177" s="50">
        <v>40578</v>
      </c>
      <c r="D177" t="s">
        <v>76</v>
      </c>
    </row>
    <row r="178" spans="2:4">
      <c r="B178" s="50">
        <v>40578</v>
      </c>
      <c r="D178" t="s">
        <v>75</v>
      </c>
    </row>
    <row r="179" spans="2:4">
      <c r="B179" s="50">
        <v>40578</v>
      </c>
      <c r="D179" t="s">
        <v>64</v>
      </c>
    </row>
    <row r="180" spans="2:4">
      <c r="B180" s="50">
        <v>40578</v>
      </c>
      <c r="D180" t="s">
        <v>63</v>
      </c>
    </row>
    <row r="181" spans="2:4">
      <c r="B181" s="50">
        <v>40578</v>
      </c>
      <c r="D181" t="s">
        <v>79</v>
      </c>
    </row>
    <row r="182" spans="2:4">
      <c r="B182" s="50">
        <v>40578</v>
      </c>
      <c r="D182" t="s">
        <v>55</v>
      </c>
    </row>
    <row r="183" spans="2:4">
      <c r="B183" s="50">
        <v>40578</v>
      </c>
      <c r="D183" t="s">
        <v>74</v>
      </c>
    </row>
    <row r="184" spans="2:4">
      <c r="B184" s="50">
        <v>40578</v>
      </c>
      <c r="D184" t="s">
        <v>60</v>
      </c>
    </row>
    <row r="185" spans="2:4">
      <c r="B185" s="50">
        <v>40578</v>
      </c>
      <c r="D185" t="s">
        <v>61</v>
      </c>
    </row>
    <row r="186" spans="2:4">
      <c r="B186" s="50">
        <v>40578</v>
      </c>
      <c r="D186" t="s">
        <v>67</v>
      </c>
    </row>
    <row r="187" spans="2:4">
      <c r="B187" s="50">
        <v>40578</v>
      </c>
      <c r="D187" t="s">
        <v>52</v>
      </c>
    </row>
    <row r="188" spans="2:4">
      <c r="B188" s="50">
        <v>40578</v>
      </c>
      <c r="D188" t="s">
        <v>76</v>
      </c>
    </row>
    <row r="189" spans="2:4">
      <c r="B189" s="50">
        <v>40578</v>
      </c>
      <c r="D189" t="s">
        <v>78</v>
      </c>
    </row>
    <row r="190" spans="2:4">
      <c r="B190" s="50">
        <v>40578</v>
      </c>
      <c r="D190" t="s">
        <v>63</v>
      </c>
    </row>
    <row r="191" spans="2:4">
      <c r="B191" s="50">
        <v>40578</v>
      </c>
      <c r="D191" t="s">
        <v>58</v>
      </c>
    </row>
    <row r="192" spans="2:4">
      <c r="B192" s="50">
        <v>40578</v>
      </c>
      <c r="D192" t="s">
        <v>68</v>
      </c>
    </row>
    <row r="193" spans="2:4">
      <c r="B193" s="50">
        <v>40578</v>
      </c>
      <c r="D193" t="s">
        <v>55</v>
      </c>
    </row>
    <row r="194" spans="2:4">
      <c r="B194" s="50">
        <v>40578</v>
      </c>
      <c r="D194" t="s">
        <v>75</v>
      </c>
    </row>
    <row r="195" spans="2:4">
      <c r="B195" s="50">
        <v>40578</v>
      </c>
      <c r="D195" t="s">
        <v>60</v>
      </c>
    </row>
    <row r="196" spans="2:4">
      <c r="B196" s="50">
        <v>40578</v>
      </c>
      <c r="D196" t="s">
        <v>61</v>
      </c>
    </row>
    <row r="197" spans="2:4">
      <c r="B197" s="50">
        <v>40578</v>
      </c>
      <c r="D197" t="s">
        <v>67</v>
      </c>
    </row>
    <row r="198" spans="2:4">
      <c r="B198" s="50">
        <v>40578</v>
      </c>
      <c r="D198" t="s">
        <v>52</v>
      </c>
    </row>
    <row r="199" spans="2:4">
      <c r="B199" s="50">
        <v>40578</v>
      </c>
      <c r="D199" t="s">
        <v>76</v>
      </c>
    </row>
    <row r="200" spans="2:4">
      <c r="B200" s="50">
        <v>40578</v>
      </c>
      <c r="D200" t="s">
        <v>57</v>
      </c>
    </row>
    <row r="201" spans="2:4">
      <c r="B201" s="50">
        <v>40578</v>
      </c>
      <c r="D201" t="s">
        <v>58</v>
      </c>
    </row>
    <row r="202" spans="2:4">
      <c r="B202" s="50">
        <v>40578</v>
      </c>
      <c r="D202" t="s">
        <v>59</v>
      </c>
    </row>
    <row r="203" spans="2:4">
      <c r="B203" s="50">
        <v>40578</v>
      </c>
      <c r="D203" t="s">
        <v>60</v>
      </c>
    </row>
    <row r="204" spans="2:4">
      <c r="B204" s="50">
        <v>40578</v>
      </c>
      <c r="D204" t="s">
        <v>82</v>
      </c>
    </row>
    <row r="205" spans="2:4">
      <c r="B205" s="50">
        <v>40578</v>
      </c>
      <c r="D205" t="s">
        <v>62</v>
      </c>
    </row>
    <row r="206" spans="2:4">
      <c r="B206" s="50">
        <v>40578</v>
      </c>
      <c r="D206" t="s">
        <v>61</v>
      </c>
    </row>
    <row r="207" spans="2:4">
      <c r="B207" s="50">
        <v>40578</v>
      </c>
      <c r="D207" t="s">
        <v>63</v>
      </c>
    </row>
    <row r="208" spans="2:4">
      <c r="B208" s="50">
        <v>40578</v>
      </c>
      <c r="D208" t="s">
        <v>67</v>
      </c>
    </row>
    <row r="209" spans="2:4">
      <c r="B209" s="50">
        <v>40578</v>
      </c>
      <c r="D209" t="s">
        <v>68</v>
      </c>
    </row>
    <row r="210" spans="2:4">
      <c r="B210" s="50">
        <v>40578</v>
      </c>
      <c r="D210" t="s">
        <v>69</v>
      </c>
    </row>
    <row r="211" spans="2:4">
      <c r="B211" s="50">
        <v>40578</v>
      </c>
      <c r="D211" t="s">
        <v>68</v>
      </c>
    </row>
    <row r="212" spans="2:4">
      <c r="B212" s="50">
        <v>40578</v>
      </c>
      <c r="D212" t="s">
        <v>82</v>
      </c>
    </row>
    <row r="213" spans="2:4">
      <c r="B213" s="50">
        <v>40578</v>
      </c>
      <c r="D213" t="s">
        <v>63</v>
      </c>
    </row>
    <row r="214" spans="2:4">
      <c r="B214" s="50">
        <v>40578</v>
      </c>
      <c r="D214" t="s">
        <v>69</v>
      </c>
    </row>
    <row r="215" spans="2:4">
      <c r="B215" s="50">
        <v>40578</v>
      </c>
      <c r="D215" t="s">
        <v>55</v>
      </c>
    </row>
    <row r="216" spans="2:4">
      <c r="B216" s="50">
        <v>40578</v>
      </c>
      <c r="D216" t="s">
        <v>58</v>
      </c>
    </row>
    <row r="217" spans="2:4">
      <c r="B217" s="50">
        <v>40578</v>
      </c>
      <c r="D217" t="s">
        <v>60</v>
      </c>
    </row>
    <row r="218" spans="2:4">
      <c r="B218" s="50">
        <v>40578</v>
      </c>
      <c r="D218" t="s">
        <v>61</v>
      </c>
    </row>
    <row r="219" spans="2:4">
      <c r="B219" s="50">
        <v>40578</v>
      </c>
      <c r="D219" t="s">
        <v>67</v>
      </c>
    </row>
    <row r="220" spans="2:4">
      <c r="B220" s="50">
        <v>40578</v>
      </c>
      <c r="D220" t="s">
        <v>52</v>
      </c>
    </row>
    <row r="221" spans="2:4">
      <c r="B221" s="50">
        <v>40578</v>
      </c>
      <c r="D221" t="s">
        <v>76</v>
      </c>
    </row>
    <row r="222" spans="2:4">
      <c r="B222" s="50">
        <v>40578</v>
      </c>
      <c r="D222" t="s">
        <v>79</v>
      </c>
    </row>
    <row r="223" spans="2:4">
      <c r="B223" s="50">
        <v>40578</v>
      </c>
      <c r="D223" t="s">
        <v>59</v>
      </c>
    </row>
    <row r="224" spans="2:4">
      <c r="B224" s="50">
        <v>40578</v>
      </c>
      <c r="D224" t="s">
        <v>61</v>
      </c>
    </row>
    <row r="225" spans="2:4">
      <c r="B225" s="50">
        <v>40578</v>
      </c>
      <c r="D225" t="s">
        <v>67</v>
      </c>
    </row>
    <row r="226" spans="2:4">
      <c r="B226" s="50">
        <v>40578</v>
      </c>
      <c r="D226" t="s">
        <v>62</v>
      </c>
    </row>
    <row r="227" spans="2:4">
      <c r="B227" s="50">
        <v>40578</v>
      </c>
      <c r="D227" t="s">
        <v>78</v>
      </c>
    </row>
    <row r="228" spans="2:4">
      <c r="B228" s="50">
        <v>40578</v>
      </c>
      <c r="D228" t="s">
        <v>60</v>
      </c>
    </row>
    <row r="229" spans="2:4">
      <c r="B229" s="50">
        <v>40578</v>
      </c>
      <c r="D229" t="s">
        <v>63</v>
      </c>
    </row>
    <row r="230" spans="2:4">
      <c r="B230" s="50">
        <v>40578</v>
      </c>
      <c r="D230" t="s">
        <v>71</v>
      </c>
    </row>
    <row r="231" spans="2:4">
      <c r="B231" s="50">
        <v>40578</v>
      </c>
      <c r="D231" t="s">
        <v>52</v>
      </c>
    </row>
    <row r="232" spans="2:4">
      <c r="B232" s="50">
        <v>40578</v>
      </c>
      <c r="D232" t="s">
        <v>76</v>
      </c>
    </row>
    <row r="233" spans="2:4">
      <c r="B233" s="50">
        <v>40578</v>
      </c>
      <c r="D233" t="s">
        <v>68</v>
      </c>
    </row>
    <row r="234" spans="2:4">
      <c r="B234" s="50">
        <v>40578</v>
      </c>
      <c r="D234" t="s">
        <v>62</v>
      </c>
    </row>
    <row r="235" spans="2:4">
      <c r="B235" s="50">
        <v>40578</v>
      </c>
      <c r="D235" t="s">
        <v>66</v>
      </c>
    </row>
    <row r="236" spans="2:4">
      <c r="B236" s="50">
        <v>40578</v>
      </c>
      <c r="D236" t="s">
        <v>72</v>
      </c>
    </row>
    <row r="237" spans="2:4">
      <c r="B237" s="50">
        <v>40578</v>
      </c>
      <c r="D237" t="s">
        <v>55</v>
      </c>
    </row>
    <row r="238" spans="2:4">
      <c r="B238" s="50">
        <v>40578</v>
      </c>
      <c r="D238" t="s">
        <v>59</v>
      </c>
    </row>
    <row r="239" spans="2:4">
      <c r="B239" s="50">
        <v>40578</v>
      </c>
      <c r="D239" t="s">
        <v>60</v>
      </c>
    </row>
    <row r="240" spans="2:4">
      <c r="B240" s="50">
        <v>40578</v>
      </c>
      <c r="D240" t="s">
        <v>61</v>
      </c>
    </row>
    <row r="241" spans="2:4">
      <c r="B241" s="50">
        <v>40578</v>
      </c>
      <c r="D241" t="s">
        <v>67</v>
      </c>
    </row>
    <row r="242" spans="2:4">
      <c r="B242" s="50">
        <v>40578</v>
      </c>
      <c r="D242" t="s">
        <v>52</v>
      </c>
    </row>
    <row r="243" spans="2:4">
      <c r="B243" s="50">
        <v>40578</v>
      </c>
      <c r="D243" t="s">
        <v>76</v>
      </c>
    </row>
    <row r="244" spans="2:4">
      <c r="B244" s="50">
        <v>40578</v>
      </c>
      <c r="D244" t="s">
        <v>75</v>
      </c>
    </row>
    <row r="245" spans="2:4">
      <c r="B245" s="50">
        <v>40578</v>
      </c>
      <c r="D245" t="s">
        <v>64</v>
      </c>
    </row>
    <row r="246" spans="2:4">
      <c r="B246" s="50">
        <v>40578</v>
      </c>
      <c r="D246" t="s">
        <v>63</v>
      </c>
    </row>
    <row r="247" spans="2:4">
      <c r="B247" s="50">
        <v>40578</v>
      </c>
      <c r="D247" t="s">
        <v>79</v>
      </c>
    </row>
    <row r="248" spans="2:4">
      <c r="B248" s="50">
        <v>40578</v>
      </c>
      <c r="D248" t="s">
        <v>55</v>
      </c>
    </row>
    <row r="249" spans="2:4">
      <c r="B249" s="50">
        <v>40578</v>
      </c>
      <c r="D249" t="s">
        <v>74</v>
      </c>
    </row>
    <row r="250" spans="2:4">
      <c r="B250" s="50">
        <v>40578</v>
      </c>
      <c r="D250" t="s">
        <v>60</v>
      </c>
    </row>
    <row r="251" spans="2:4">
      <c r="B251" s="50">
        <v>40578</v>
      </c>
      <c r="D251" t="s">
        <v>61</v>
      </c>
    </row>
    <row r="252" spans="2:4">
      <c r="B252" s="50">
        <v>40578</v>
      </c>
      <c r="D252" t="s">
        <v>67</v>
      </c>
    </row>
    <row r="253" spans="2:4">
      <c r="B253" s="50">
        <v>40578</v>
      </c>
      <c r="D253" t="s">
        <v>52</v>
      </c>
    </row>
    <row r="254" spans="2:4">
      <c r="B254" s="50">
        <v>40578</v>
      </c>
      <c r="D254" t="s">
        <v>76</v>
      </c>
    </row>
    <row r="255" spans="2:4">
      <c r="B255" s="50">
        <v>40578</v>
      </c>
      <c r="D255" t="s">
        <v>78</v>
      </c>
    </row>
    <row r="256" spans="2:4">
      <c r="B256" s="50">
        <v>40578</v>
      </c>
      <c r="D256" t="s">
        <v>63</v>
      </c>
    </row>
    <row r="257" spans="2:4">
      <c r="B257" s="50">
        <v>40578</v>
      </c>
      <c r="D257" t="s">
        <v>58</v>
      </c>
    </row>
    <row r="258" spans="2:4">
      <c r="B258" s="50">
        <v>40578</v>
      </c>
      <c r="D258" t="s">
        <v>68</v>
      </c>
    </row>
    <row r="259" spans="2:4">
      <c r="B259" s="50">
        <v>40578</v>
      </c>
      <c r="D259" t="s">
        <v>55</v>
      </c>
    </row>
    <row r="260" spans="2:4">
      <c r="B260" s="50">
        <v>40578</v>
      </c>
      <c r="D260" t="s">
        <v>75</v>
      </c>
    </row>
    <row r="261" spans="2:4">
      <c r="B261" s="50">
        <v>40578</v>
      </c>
      <c r="D261" t="s">
        <v>60</v>
      </c>
    </row>
    <row r="262" spans="2:4">
      <c r="B262" s="50">
        <v>40578</v>
      </c>
      <c r="D262" t="s">
        <v>61</v>
      </c>
    </row>
    <row r="263" spans="2:4">
      <c r="B263" s="50">
        <v>40578</v>
      </c>
      <c r="D263" t="s">
        <v>67</v>
      </c>
    </row>
    <row r="264" spans="2:4">
      <c r="B264" s="50">
        <v>40578</v>
      </c>
      <c r="D264" t="s">
        <v>52</v>
      </c>
    </row>
    <row r="265" spans="2:4">
      <c r="B265" s="50">
        <v>40578</v>
      </c>
      <c r="D265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TeamConfig Simulator</vt:lpstr>
      <vt:lpstr>Main</vt:lpstr>
      <vt:lpstr>TeamConfig</vt:lpstr>
      <vt:lpstr>Batting</vt:lpstr>
      <vt:lpstr>Bowling</vt:lpstr>
      <vt:lpstr>Fielding</vt:lpstr>
      <vt:lpstr>Score</vt:lpstr>
      <vt:lpstr>PlayerPool</vt:lpstr>
      <vt:lpstr>DailyTeamScore</vt:lpstr>
      <vt:lpstr>TotalTeamScore</vt:lpstr>
      <vt:lpstr>SubstitutionLog</vt:lpstr>
      <vt:lpstr>abc</vt:lpstr>
      <vt:lpstr>batting</vt:lpstr>
      <vt:lpstr>bowling</vt:lpstr>
      <vt:lpstr>Fielding</vt:lpstr>
      <vt:lpstr>Player</vt:lpstr>
      <vt:lpstr>Score</vt:lpstr>
      <vt:lpstr>score_d</vt:lpstr>
      <vt:lpstr>score_p</vt:lpstr>
      <vt:lpstr>Universal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Sameer</dc:creator>
  <cp:lastModifiedBy>Sameer</cp:lastModifiedBy>
  <dcterms:created xsi:type="dcterms:W3CDTF">2011-01-13T07:39:30Z</dcterms:created>
  <dcterms:modified xsi:type="dcterms:W3CDTF">2011-02-07T10:09:46Z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Pass_1" visible="true" label="ShowPass" onAction="ShowPass" imageMso="ViewDisplayInHighContrast"/>
      </mso:documentControls>
    </mso:qat>
  </mso:ribbon>
</mso:customUI>
</file>