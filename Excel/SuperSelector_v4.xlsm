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0" windowWidth="19420" windowHeight="7590" firstSheet="3" activeTab="10"/>
  </bookViews>
  <sheets>
    <sheet name="TeamConfig Simulator" sheetId="17" r:id="rId1"/>
    <sheet name="Main" sheetId="8" r:id="rId2"/>
    <sheet name="TeamConfig" sheetId="13" r:id="rId3"/>
    <sheet name="Batting" sheetId="1" r:id="rId4"/>
    <sheet name="Bowling" sheetId="3" r:id="rId5"/>
    <sheet name="Fielding" sheetId="4" r:id="rId6"/>
    <sheet name="Score" sheetId="7" r:id="rId7"/>
    <sheet name="PlayerPool" sheetId="5" r:id="rId8"/>
    <sheet name="DailyTeamScore" sheetId="14" r:id="rId9"/>
    <sheet name="TotalTeamScore" sheetId="15" r:id="rId10"/>
    <sheet name="SubstitutionLog" sheetId="12" r:id="rId11"/>
  </sheets>
  <definedNames>
    <definedName name="abc">Score!$C$3:$C$37</definedName>
    <definedName name="batting">Batting!$E$10:$Q$152</definedName>
    <definedName name="bowling">Bowling!$E$10:$Q$152</definedName>
    <definedName name="Fielding">Fielding!$E$10:$Q$152</definedName>
    <definedName name="Player">PlayerPool!$B$3:$B$137</definedName>
    <definedName name="Score">Score!$D$5:$H$147</definedName>
    <definedName name="score_d">Score!$D$3:$H$3</definedName>
    <definedName name="score_p">Score!$C$5:$C$147</definedName>
    <definedName name="Team1" localSheetId="0">#REF!</definedName>
    <definedName name="Team1">#REF!</definedName>
    <definedName name="test1">PlayerPool!$D$3:$D$17,PlayerPool!$B$3:$B$17</definedName>
    <definedName name="Universal">PlayerPool!$B$2:$D$137</definedName>
  </definedNames>
  <calcPr calcId="124519"/>
</workbook>
</file>

<file path=xl/calcChain.xml><?xml version="1.0" encoding="utf-8"?>
<calcChain xmlns="http://schemas.openxmlformats.org/spreadsheetml/2006/main">
  <c r="AA2" i="13"/>
  <c r="AB2" s="1"/>
  <c r="Q2"/>
  <c r="R2" s="1"/>
  <c r="L2"/>
  <c r="M2" s="1"/>
  <c r="AE16"/>
  <c r="G7" i="15"/>
  <c r="Z16" i="13"/>
  <c r="G6" i="15"/>
  <c r="U16" i="13"/>
  <c r="G5" i="15"/>
  <c r="P16" i="13"/>
  <c r="G4" i="15"/>
  <c r="K16" i="13"/>
  <c r="G3" i="15"/>
  <c r="F16" i="13"/>
  <c r="G2" i="15"/>
  <c r="N137" i="4"/>
  <c r="L137"/>
  <c r="J137"/>
  <c r="H137"/>
  <c r="F137"/>
  <c r="N121"/>
  <c r="L121"/>
  <c r="J121"/>
  <c r="H121"/>
  <c r="F121"/>
  <c r="N105"/>
  <c r="L105"/>
  <c r="J105"/>
  <c r="H105"/>
  <c r="F105"/>
  <c r="N89"/>
  <c r="L89"/>
  <c r="J89"/>
  <c r="H89"/>
  <c r="F89"/>
  <c r="N73"/>
  <c r="L73"/>
  <c r="J73"/>
  <c r="H73"/>
  <c r="F73"/>
  <c r="N57"/>
  <c r="L57"/>
  <c r="J57"/>
  <c r="H57"/>
  <c r="F57"/>
  <c r="N41"/>
  <c r="L41"/>
  <c r="J41"/>
  <c r="H41"/>
  <c r="F41"/>
  <c r="N25"/>
  <c r="L25"/>
  <c r="J25"/>
  <c r="H25"/>
  <c r="F25"/>
  <c r="N9"/>
  <c r="L9"/>
  <c r="J9"/>
  <c r="H9"/>
  <c r="F9"/>
  <c r="N137" i="3"/>
  <c r="L137"/>
  <c r="J137"/>
  <c r="H137"/>
  <c r="F137"/>
  <c r="N121"/>
  <c r="L121"/>
  <c r="J121"/>
  <c r="H121"/>
  <c r="F121"/>
  <c r="N105"/>
  <c r="L105"/>
  <c r="J105"/>
  <c r="H105"/>
  <c r="F105"/>
  <c r="N89"/>
  <c r="L89"/>
  <c r="J89"/>
  <c r="H89"/>
  <c r="F89"/>
  <c r="N73"/>
  <c r="L73"/>
  <c r="J73"/>
  <c r="H73"/>
  <c r="F73"/>
  <c r="N57"/>
  <c r="L57"/>
  <c r="J57"/>
  <c r="H57"/>
  <c r="F57"/>
  <c r="N41"/>
  <c r="L41"/>
  <c r="J41"/>
  <c r="H41"/>
  <c r="F41"/>
  <c r="N25"/>
  <c r="L25"/>
  <c r="J25"/>
  <c r="H25"/>
  <c r="F25"/>
  <c r="N9"/>
  <c r="L9"/>
  <c r="J9"/>
  <c r="H9"/>
  <c r="F9"/>
  <c r="F41" i="1"/>
  <c r="H41"/>
  <c r="J41"/>
  <c r="L41"/>
  <c r="N41"/>
  <c r="N137"/>
  <c r="L137"/>
  <c r="J137"/>
  <c r="H137"/>
  <c r="F137"/>
  <c r="N121"/>
  <c r="L121"/>
  <c r="J121"/>
  <c r="H121"/>
  <c r="F121"/>
  <c r="N105"/>
  <c r="L105"/>
  <c r="J105"/>
  <c r="H105"/>
  <c r="F105"/>
  <c r="N89"/>
  <c r="L89"/>
  <c r="J89"/>
  <c r="H89"/>
  <c r="F89"/>
  <c r="N73"/>
  <c r="L73"/>
  <c r="J73"/>
  <c r="H73"/>
  <c r="F73"/>
  <c r="N57"/>
  <c r="L57"/>
  <c r="J57"/>
  <c r="H57"/>
  <c r="F57"/>
  <c r="N25"/>
  <c r="L25"/>
  <c r="J25"/>
  <c r="H25"/>
  <c r="F25"/>
  <c r="H9"/>
  <c r="J9"/>
  <c r="L9"/>
  <c r="N9"/>
  <c r="F9"/>
  <c r="C147" i="7"/>
  <c r="C146"/>
  <c r="C145"/>
  <c r="C144"/>
  <c r="C143"/>
  <c r="C142"/>
  <c r="C141"/>
  <c r="C140"/>
  <c r="C139"/>
  <c r="C138"/>
  <c r="C137"/>
  <c r="C136"/>
  <c r="C135"/>
  <c r="C134"/>
  <c r="C133"/>
  <c r="C131"/>
  <c r="C130"/>
  <c r="C129"/>
  <c r="C128"/>
  <c r="C127"/>
  <c r="C126"/>
  <c r="C125"/>
  <c r="C124"/>
  <c r="C123"/>
  <c r="C122"/>
  <c r="C121"/>
  <c r="C120"/>
  <c r="C119"/>
  <c r="C118"/>
  <c r="C117"/>
  <c r="C115"/>
  <c r="C114"/>
  <c r="C113"/>
  <c r="C112"/>
  <c r="C111"/>
  <c r="C110"/>
  <c r="C109"/>
  <c r="C108"/>
  <c r="C107"/>
  <c r="C106"/>
  <c r="C105"/>
  <c r="C104"/>
  <c r="C103"/>
  <c r="C102"/>
  <c r="C101"/>
  <c r="C99"/>
  <c r="C98"/>
  <c r="C97"/>
  <c r="C96"/>
  <c r="C95"/>
  <c r="C94"/>
  <c r="C93"/>
  <c r="C92"/>
  <c r="C91"/>
  <c r="C90"/>
  <c r="C89"/>
  <c r="C88"/>
  <c r="C87"/>
  <c r="C86"/>
  <c r="C85"/>
  <c r="C83"/>
  <c r="C82"/>
  <c r="C81"/>
  <c r="C80"/>
  <c r="C79"/>
  <c r="C78"/>
  <c r="C77"/>
  <c r="C76"/>
  <c r="C75"/>
  <c r="C74"/>
  <c r="C73"/>
  <c r="C72"/>
  <c r="C71"/>
  <c r="C70"/>
  <c r="C69"/>
  <c r="C67"/>
  <c r="C66"/>
  <c r="C65"/>
  <c r="C64"/>
  <c r="C63"/>
  <c r="C62"/>
  <c r="C61"/>
  <c r="C60"/>
  <c r="C59"/>
  <c r="C58"/>
  <c r="C57"/>
  <c r="C56"/>
  <c r="C55"/>
  <c r="C54"/>
  <c r="C53"/>
  <c r="C51"/>
  <c r="C50"/>
  <c r="C49"/>
  <c r="C48"/>
  <c r="C47"/>
  <c r="C46"/>
  <c r="C45"/>
  <c r="C44"/>
  <c r="C43"/>
  <c r="C42"/>
  <c r="C41"/>
  <c r="C40"/>
  <c r="C39"/>
  <c r="C38"/>
  <c r="C37"/>
  <c r="C35"/>
  <c r="C34"/>
  <c r="C33"/>
  <c r="C32"/>
  <c r="C31"/>
  <c r="C30"/>
  <c r="C29"/>
  <c r="C28"/>
  <c r="C27"/>
  <c r="C26"/>
  <c r="C25"/>
  <c r="C24"/>
  <c r="C23"/>
  <c r="C22"/>
  <c r="C21"/>
  <c r="C19"/>
  <c r="C18"/>
  <c r="C17"/>
  <c r="C16"/>
  <c r="C15"/>
  <c r="C14"/>
  <c r="C13"/>
  <c r="C12"/>
  <c r="C11"/>
  <c r="C10"/>
  <c r="C9"/>
  <c r="C8"/>
  <c r="C7"/>
  <c r="C6"/>
  <c r="C5"/>
  <c r="P152" i="4"/>
  <c r="O152"/>
  <c r="M152"/>
  <c r="K152"/>
  <c r="I152"/>
  <c r="G152"/>
  <c r="E152"/>
  <c r="P151"/>
  <c r="O151"/>
  <c r="M151"/>
  <c r="K151"/>
  <c r="I151"/>
  <c r="G151"/>
  <c r="E151"/>
  <c r="P150"/>
  <c r="O150"/>
  <c r="M150"/>
  <c r="K150"/>
  <c r="I150"/>
  <c r="G150"/>
  <c r="E150"/>
  <c r="P149"/>
  <c r="O149"/>
  <c r="M149"/>
  <c r="K149"/>
  <c r="I149"/>
  <c r="G149"/>
  <c r="E149"/>
  <c r="P148"/>
  <c r="O148"/>
  <c r="M148"/>
  <c r="K148"/>
  <c r="I148"/>
  <c r="G148"/>
  <c r="E148"/>
  <c r="P147"/>
  <c r="O147"/>
  <c r="M147"/>
  <c r="K147"/>
  <c r="I147"/>
  <c r="G147"/>
  <c r="E147"/>
  <c r="Q152" l="1"/>
  <c r="Q148"/>
  <c r="Q149"/>
  <c r="Q151"/>
  <c r="Q150"/>
  <c r="Q147"/>
  <c r="P146"/>
  <c r="O146"/>
  <c r="M146"/>
  <c r="K146"/>
  <c r="I146"/>
  <c r="G146"/>
  <c r="E146"/>
  <c r="P145"/>
  <c r="O145"/>
  <c r="M145"/>
  <c r="K145"/>
  <c r="I145"/>
  <c r="G145"/>
  <c r="E145"/>
  <c r="P144"/>
  <c r="O144"/>
  <c r="M144"/>
  <c r="K144"/>
  <c r="I144"/>
  <c r="G144"/>
  <c r="E144"/>
  <c r="P143"/>
  <c r="O143"/>
  <c r="M143"/>
  <c r="K143"/>
  <c r="I143"/>
  <c r="G143"/>
  <c r="E143"/>
  <c r="P142"/>
  <c r="O142"/>
  <c r="M142"/>
  <c r="K142"/>
  <c r="I142"/>
  <c r="G142"/>
  <c r="E142"/>
  <c r="P141"/>
  <c r="O141"/>
  <c r="M141"/>
  <c r="K141"/>
  <c r="I141"/>
  <c r="G141"/>
  <c r="E141"/>
  <c r="P140"/>
  <c r="O140"/>
  <c r="M140"/>
  <c r="K140"/>
  <c r="I140"/>
  <c r="G140"/>
  <c r="E140"/>
  <c r="P139"/>
  <c r="O139"/>
  <c r="M139"/>
  <c r="K139"/>
  <c r="I139"/>
  <c r="G139"/>
  <c r="E139"/>
  <c r="P138"/>
  <c r="O138"/>
  <c r="M138"/>
  <c r="K138"/>
  <c r="I138"/>
  <c r="G138"/>
  <c r="E138"/>
  <c r="P136"/>
  <c r="O136"/>
  <c r="M136"/>
  <c r="K136"/>
  <c r="I136"/>
  <c r="G136"/>
  <c r="E136"/>
  <c r="P135"/>
  <c r="O135"/>
  <c r="M135"/>
  <c r="K135"/>
  <c r="I135"/>
  <c r="G135"/>
  <c r="E135"/>
  <c r="P134"/>
  <c r="O134"/>
  <c r="M134"/>
  <c r="K134"/>
  <c r="I134"/>
  <c r="G134"/>
  <c r="E134"/>
  <c r="P133"/>
  <c r="O133"/>
  <c r="M133"/>
  <c r="K133"/>
  <c r="I133"/>
  <c r="G133"/>
  <c r="E133"/>
  <c r="P132"/>
  <c r="O132"/>
  <c r="M132"/>
  <c r="K132"/>
  <c r="I132"/>
  <c r="G132"/>
  <c r="E132"/>
  <c r="P131"/>
  <c r="O131"/>
  <c r="M131"/>
  <c r="K131"/>
  <c r="I131"/>
  <c r="G131"/>
  <c r="E131"/>
  <c r="P130"/>
  <c r="O130"/>
  <c r="M130"/>
  <c r="K130"/>
  <c r="I130"/>
  <c r="G130"/>
  <c r="E130"/>
  <c r="P129"/>
  <c r="O129"/>
  <c r="M129"/>
  <c r="K129"/>
  <c r="I129"/>
  <c r="G129"/>
  <c r="E129"/>
  <c r="P128"/>
  <c r="O128"/>
  <c r="M128"/>
  <c r="K128"/>
  <c r="I128"/>
  <c r="G128"/>
  <c r="E128"/>
  <c r="P127"/>
  <c r="O127"/>
  <c r="M127"/>
  <c r="K127"/>
  <c r="I127"/>
  <c r="G127"/>
  <c r="E127"/>
  <c r="P126"/>
  <c r="O126"/>
  <c r="M126"/>
  <c r="K126"/>
  <c r="I126"/>
  <c r="G126"/>
  <c r="E126"/>
  <c r="P125"/>
  <c r="O125"/>
  <c r="M125"/>
  <c r="K125"/>
  <c r="I125"/>
  <c r="G125"/>
  <c r="E125"/>
  <c r="P124"/>
  <c r="O124"/>
  <c r="M124"/>
  <c r="K124"/>
  <c r="I124"/>
  <c r="G124"/>
  <c r="E124"/>
  <c r="P123"/>
  <c r="O123"/>
  <c r="M123"/>
  <c r="K123"/>
  <c r="I123"/>
  <c r="G123"/>
  <c r="E123"/>
  <c r="P122"/>
  <c r="O122"/>
  <c r="M122"/>
  <c r="M121" s="1"/>
  <c r="K122"/>
  <c r="I122"/>
  <c r="G122"/>
  <c r="E122"/>
  <c r="P120"/>
  <c r="O120"/>
  <c r="M120"/>
  <c r="K120"/>
  <c r="I120"/>
  <c r="G120"/>
  <c r="E120"/>
  <c r="P119"/>
  <c r="O119"/>
  <c r="M119"/>
  <c r="K119"/>
  <c r="I119"/>
  <c r="G119"/>
  <c r="E119"/>
  <c r="P118"/>
  <c r="O118"/>
  <c r="M118"/>
  <c r="K118"/>
  <c r="I118"/>
  <c r="G118"/>
  <c r="E118"/>
  <c r="P117"/>
  <c r="O117"/>
  <c r="M117"/>
  <c r="K117"/>
  <c r="I117"/>
  <c r="G117"/>
  <c r="E117"/>
  <c r="P116"/>
  <c r="O116"/>
  <c r="M116"/>
  <c r="K116"/>
  <c r="I116"/>
  <c r="G116"/>
  <c r="E116"/>
  <c r="P115"/>
  <c r="O115"/>
  <c r="M115"/>
  <c r="K115"/>
  <c r="I115"/>
  <c r="G115"/>
  <c r="E115"/>
  <c r="P114"/>
  <c r="O114"/>
  <c r="M114"/>
  <c r="K114"/>
  <c r="I114"/>
  <c r="G114"/>
  <c r="E114"/>
  <c r="P113"/>
  <c r="O113"/>
  <c r="M113"/>
  <c r="K113"/>
  <c r="I113"/>
  <c r="G113"/>
  <c r="E113"/>
  <c r="P112"/>
  <c r="O112"/>
  <c r="M112"/>
  <c r="K112"/>
  <c r="I112"/>
  <c r="G112"/>
  <c r="E112"/>
  <c r="P111"/>
  <c r="O111"/>
  <c r="M111"/>
  <c r="K111"/>
  <c r="I111"/>
  <c r="G111"/>
  <c r="E111"/>
  <c r="P110"/>
  <c r="O110"/>
  <c r="M110"/>
  <c r="K110"/>
  <c r="I110"/>
  <c r="G110"/>
  <c r="E110"/>
  <c r="P109"/>
  <c r="O109"/>
  <c r="M109"/>
  <c r="K109"/>
  <c r="I109"/>
  <c r="G109"/>
  <c r="E109"/>
  <c r="P108"/>
  <c r="O108"/>
  <c r="M108"/>
  <c r="K108"/>
  <c r="I108"/>
  <c r="G108"/>
  <c r="E108"/>
  <c r="P107"/>
  <c r="O107"/>
  <c r="M107"/>
  <c r="K107"/>
  <c r="I107"/>
  <c r="G107"/>
  <c r="E107"/>
  <c r="P106"/>
  <c r="O106"/>
  <c r="O105" s="1"/>
  <c r="M106"/>
  <c r="K106"/>
  <c r="I106"/>
  <c r="G106"/>
  <c r="G105" s="1"/>
  <c r="E106"/>
  <c r="P104"/>
  <c r="O104"/>
  <c r="M104"/>
  <c r="K104"/>
  <c r="I104"/>
  <c r="G104"/>
  <c r="E104"/>
  <c r="P103"/>
  <c r="O103"/>
  <c r="M103"/>
  <c r="K103"/>
  <c r="I103"/>
  <c r="G103"/>
  <c r="E103"/>
  <c r="P102"/>
  <c r="O102"/>
  <c r="M102"/>
  <c r="K102"/>
  <c r="I102"/>
  <c r="G102"/>
  <c r="E102"/>
  <c r="P101"/>
  <c r="O101"/>
  <c r="M101"/>
  <c r="K101"/>
  <c r="I101"/>
  <c r="G101"/>
  <c r="E101"/>
  <c r="P100"/>
  <c r="O100"/>
  <c r="M100"/>
  <c r="K100"/>
  <c r="I100"/>
  <c r="G100"/>
  <c r="E100"/>
  <c r="P99"/>
  <c r="O99"/>
  <c r="M99"/>
  <c r="K99"/>
  <c r="I99"/>
  <c r="G99"/>
  <c r="E99"/>
  <c r="P98"/>
  <c r="O98"/>
  <c r="M98"/>
  <c r="K98"/>
  <c r="I98"/>
  <c r="G98"/>
  <c r="E98"/>
  <c r="P97"/>
  <c r="O97"/>
  <c r="M97"/>
  <c r="K97"/>
  <c r="I97"/>
  <c r="G97"/>
  <c r="E97"/>
  <c r="P96"/>
  <c r="O96"/>
  <c r="M96"/>
  <c r="K96"/>
  <c r="I96"/>
  <c r="G96"/>
  <c r="E96"/>
  <c r="P95"/>
  <c r="O95"/>
  <c r="M95"/>
  <c r="K95"/>
  <c r="I95"/>
  <c r="G95"/>
  <c r="E95"/>
  <c r="P94"/>
  <c r="O94"/>
  <c r="M94"/>
  <c r="K94"/>
  <c r="I94"/>
  <c r="G94"/>
  <c r="E94"/>
  <c r="P93"/>
  <c r="O93"/>
  <c r="M93"/>
  <c r="K93"/>
  <c r="I93"/>
  <c r="G93"/>
  <c r="E93"/>
  <c r="P92"/>
  <c r="O92"/>
  <c r="M92"/>
  <c r="K92"/>
  <c r="I92"/>
  <c r="G92"/>
  <c r="E92"/>
  <c r="P91"/>
  <c r="O91"/>
  <c r="M91"/>
  <c r="K91"/>
  <c r="I91"/>
  <c r="G91"/>
  <c r="E91"/>
  <c r="P90"/>
  <c r="P89" s="1"/>
  <c r="O90"/>
  <c r="M90"/>
  <c r="K90"/>
  <c r="I90"/>
  <c r="I89" s="1"/>
  <c r="G90"/>
  <c r="E90"/>
  <c r="P88"/>
  <c r="O88"/>
  <c r="M88"/>
  <c r="K88"/>
  <c r="I88"/>
  <c r="G88"/>
  <c r="E88"/>
  <c r="P87"/>
  <c r="O87"/>
  <c r="M87"/>
  <c r="K87"/>
  <c r="I87"/>
  <c r="G87"/>
  <c r="E87"/>
  <c r="P86"/>
  <c r="O86"/>
  <c r="M86"/>
  <c r="K86"/>
  <c r="I86"/>
  <c r="G86"/>
  <c r="E86"/>
  <c r="P85"/>
  <c r="O85"/>
  <c r="M85"/>
  <c r="K85"/>
  <c r="I85"/>
  <c r="G85"/>
  <c r="E85"/>
  <c r="P84"/>
  <c r="O84"/>
  <c r="M84"/>
  <c r="K84"/>
  <c r="I84"/>
  <c r="G84"/>
  <c r="E84"/>
  <c r="P83"/>
  <c r="O83"/>
  <c r="M83"/>
  <c r="K83"/>
  <c r="I83"/>
  <c r="G83"/>
  <c r="E83"/>
  <c r="P82"/>
  <c r="O82"/>
  <c r="M82"/>
  <c r="K82"/>
  <c r="I82"/>
  <c r="G82"/>
  <c r="E82"/>
  <c r="P81"/>
  <c r="O81"/>
  <c r="M81"/>
  <c r="K81"/>
  <c r="I81"/>
  <c r="G81"/>
  <c r="E81"/>
  <c r="P80"/>
  <c r="O80"/>
  <c r="M80"/>
  <c r="K80"/>
  <c r="I80"/>
  <c r="G80"/>
  <c r="E80"/>
  <c r="P79"/>
  <c r="O79"/>
  <c r="M79"/>
  <c r="K79"/>
  <c r="I79"/>
  <c r="G79"/>
  <c r="E79"/>
  <c r="P78"/>
  <c r="O78"/>
  <c r="M78"/>
  <c r="K78"/>
  <c r="I78"/>
  <c r="G78"/>
  <c r="E78"/>
  <c r="P77"/>
  <c r="O77"/>
  <c r="M77"/>
  <c r="K77"/>
  <c r="I77"/>
  <c r="G77"/>
  <c r="E77"/>
  <c r="P76"/>
  <c r="O76"/>
  <c r="M76"/>
  <c r="K76"/>
  <c r="I76"/>
  <c r="G76"/>
  <c r="E76"/>
  <c r="P75"/>
  <c r="O75"/>
  <c r="M75"/>
  <c r="K75"/>
  <c r="I75"/>
  <c r="G75"/>
  <c r="E75"/>
  <c r="P74"/>
  <c r="O74"/>
  <c r="M74"/>
  <c r="K74"/>
  <c r="K73" s="1"/>
  <c r="I74"/>
  <c r="G74"/>
  <c r="E74"/>
  <c r="P72"/>
  <c r="O72"/>
  <c r="M72"/>
  <c r="K72"/>
  <c r="I72"/>
  <c r="G72"/>
  <c r="E72"/>
  <c r="P71"/>
  <c r="O71"/>
  <c r="M71"/>
  <c r="K71"/>
  <c r="I71"/>
  <c r="G71"/>
  <c r="E71"/>
  <c r="P70"/>
  <c r="O70"/>
  <c r="M70"/>
  <c r="K70"/>
  <c r="I70"/>
  <c r="G70"/>
  <c r="E70"/>
  <c r="P69"/>
  <c r="O69"/>
  <c r="M69"/>
  <c r="K69"/>
  <c r="I69"/>
  <c r="G69"/>
  <c r="E69"/>
  <c r="P68"/>
  <c r="O68"/>
  <c r="M68"/>
  <c r="K68"/>
  <c r="I68"/>
  <c r="G68"/>
  <c r="E68"/>
  <c r="P67"/>
  <c r="O67"/>
  <c r="M67"/>
  <c r="K67"/>
  <c r="I67"/>
  <c r="G67"/>
  <c r="E67"/>
  <c r="P66"/>
  <c r="O66"/>
  <c r="M66"/>
  <c r="K66"/>
  <c r="I66"/>
  <c r="G66"/>
  <c r="E66"/>
  <c r="P65"/>
  <c r="O65"/>
  <c r="M65"/>
  <c r="K65"/>
  <c r="I65"/>
  <c r="G65"/>
  <c r="E65"/>
  <c r="P64"/>
  <c r="O64"/>
  <c r="M64"/>
  <c r="K64"/>
  <c r="I64"/>
  <c r="G64"/>
  <c r="E64"/>
  <c r="P63"/>
  <c r="O63"/>
  <c r="M63"/>
  <c r="K63"/>
  <c r="I63"/>
  <c r="G63"/>
  <c r="E63"/>
  <c r="P62"/>
  <c r="O62"/>
  <c r="M62"/>
  <c r="K62"/>
  <c r="I62"/>
  <c r="G62"/>
  <c r="E62"/>
  <c r="P61"/>
  <c r="O61"/>
  <c r="M61"/>
  <c r="K61"/>
  <c r="I61"/>
  <c r="G61"/>
  <c r="E61"/>
  <c r="P60"/>
  <c r="O60"/>
  <c r="M60"/>
  <c r="K60"/>
  <c r="I60"/>
  <c r="G60"/>
  <c r="E60"/>
  <c r="P59"/>
  <c r="O59"/>
  <c r="M59"/>
  <c r="K59"/>
  <c r="I59"/>
  <c r="G59"/>
  <c r="E59"/>
  <c r="P58"/>
  <c r="O58"/>
  <c r="M58"/>
  <c r="M57" s="1"/>
  <c r="K58"/>
  <c r="I58"/>
  <c r="G58"/>
  <c r="E58"/>
  <c r="P56"/>
  <c r="O56"/>
  <c r="M56"/>
  <c r="K56"/>
  <c r="I56"/>
  <c r="G56"/>
  <c r="E56"/>
  <c r="P55"/>
  <c r="O55"/>
  <c r="M55"/>
  <c r="K55"/>
  <c r="I55"/>
  <c r="G55"/>
  <c r="E55"/>
  <c r="P54"/>
  <c r="O54"/>
  <c r="M54"/>
  <c r="K54"/>
  <c r="I54"/>
  <c r="G54"/>
  <c r="E54"/>
  <c r="P53"/>
  <c r="O53"/>
  <c r="M53"/>
  <c r="K53"/>
  <c r="I53"/>
  <c r="G53"/>
  <c r="E53"/>
  <c r="P52"/>
  <c r="O52"/>
  <c r="M52"/>
  <c r="K52"/>
  <c r="I52"/>
  <c r="G52"/>
  <c r="E52"/>
  <c r="P51"/>
  <c r="O51"/>
  <c r="M51"/>
  <c r="K51"/>
  <c r="I51"/>
  <c r="G51"/>
  <c r="E51"/>
  <c r="P50"/>
  <c r="O50"/>
  <c r="M50"/>
  <c r="K50"/>
  <c r="I50"/>
  <c r="G50"/>
  <c r="E50"/>
  <c r="P49"/>
  <c r="O49"/>
  <c r="M49"/>
  <c r="K49"/>
  <c r="I49"/>
  <c r="G49"/>
  <c r="E49"/>
  <c r="P48"/>
  <c r="O48"/>
  <c r="M48"/>
  <c r="K48"/>
  <c r="I48"/>
  <c r="G48"/>
  <c r="E48"/>
  <c r="P47"/>
  <c r="O47"/>
  <c r="M47"/>
  <c r="K47"/>
  <c r="I47"/>
  <c r="G47"/>
  <c r="E47"/>
  <c r="P46"/>
  <c r="O46"/>
  <c r="M46"/>
  <c r="K46"/>
  <c r="I46"/>
  <c r="G46"/>
  <c r="E46"/>
  <c r="P45"/>
  <c r="O45"/>
  <c r="M45"/>
  <c r="K45"/>
  <c r="I45"/>
  <c r="G45"/>
  <c r="E45"/>
  <c r="P44"/>
  <c r="O44"/>
  <c r="M44"/>
  <c r="K44"/>
  <c r="I44"/>
  <c r="G44"/>
  <c r="E44"/>
  <c r="P43"/>
  <c r="O43"/>
  <c r="M43"/>
  <c r="K43"/>
  <c r="I43"/>
  <c r="G43"/>
  <c r="E43"/>
  <c r="P42"/>
  <c r="O42"/>
  <c r="O41" s="1"/>
  <c r="M42"/>
  <c r="K42"/>
  <c r="I42"/>
  <c r="G42"/>
  <c r="G41" s="1"/>
  <c r="E42"/>
  <c r="P40"/>
  <c r="O40"/>
  <c r="M40"/>
  <c r="K40"/>
  <c r="I40"/>
  <c r="G40"/>
  <c r="E40"/>
  <c r="P39"/>
  <c r="O39"/>
  <c r="M39"/>
  <c r="K39"/>
  <c r="I39"/>
  <c r="G39"/>
  <c r="E39"/>
  <c r="P38"/>
  <c r="O38"/>
  <c r="M38"/>
  <c r="K38"/>
  <c r="I38"/>
  <c r="G38"/>
  <c r="E38"/>
  <c r="P37"/>
  <c r="O37"/>
  <c r="M37"/>
  <c r="K37"/>
  <c r="I37"/>
  <c r="G37"/>
  <c r="E37"/>
  <c r="P36"/>
  <c r="O36"/>
  <c r="M36"/>
  <c r="K36"/>
  <c r="I36"/>
  <c r="G36"/>
  <c r="E36"/>
  <c r="P35"/>
  <c r="O35"/>
  <c r="M35"/>
  <c r="K35"/>
  <c r="I35"/>
  <c r="G35"/>
  <c r="E35"/>
  <c r="P34"/>
  <c r="O34"/>
  <c r="M34"/>
  <c r="K34"/>
  <c r="I34"/>
  <c r="G34"/>
  <c r="E34"/>
  <c r="P33"/>
  <c r="O33"/>
  <c r="M33"/>
  <c r="K33"/>
  <c r="I33"/>
  <c r="G33"/>
  <c r="E33"/>
  <c r="P32"/>
  <c r="O32"/>
  <c r="M32"/>
  <c r="K32"/>
  <c r="I32"/>
  <c r="G32"/>
  <c r="E32"/>
  <c r="P31"/>
  <c r="O31"/>
  <c r="M31"/>
  <c r="K31"/>
  <c r="I31"/>
  <c r="G31"/>
  <c r="E31"/>
  <c r="P30"/>
  <c r="O30"/>
  <c r="M30"/>
  <c r="K30"/>
  <c r="I30"/>
  <c r="G30"/>
  <c r="E30"/>
  <c r="P29"/>
  <c r="O29"/>
  <c r="M29"/>
  <c r="K29"/>
  <c r="I29"/>
  <c r="G29"/>
  <c r="E29"/>
  <c r="P28"/>
  <c r="O28"/>
  <c r="M28"/>
  <c r="K28"/>
  <c r="I28"/>
  <c r="G28"/>
  <c r="E28"/>
  <c r="P27"/>
  <c r="O27"/>
  <c r="M27"/>
  <c r="K27"/>
  <c r="I27"/>
  <c r="G27"/>
  <c r="E27"/>
  <c r="P26"/>
  <c r="P25" s="1"/>
  <c r="O26"/>
  <c r="M26"/>
  <c r="K26"/>
  <c r="I26"/>
  <c r="I25" s="1"/>
  <c r="G26"/>
  <c r="E26"/>
  <c r="P24"/>
  <c r="O24"/>
  <c r="M24"/>
  <c r="K24"/>
  <c r="I24"/>
  <c r="G24"/>
  <c r="E24"/>
  <c r="P23"/>
  <c r="O23"/>
  <c r="M23"/>
  <c r="K23"/>
  <c r="I23"/>
  <c r="G23"/>
  <c r="E23"/>
  <c r="P22"/>
  <c r="O22"/>
  <c r="M22"/>
  <c r="K22"/>
  <c r="I22"/>
  <c r="G22"/>
  <c r="E22"/>
  <c r="P21"/>
  <c r="O21"/>
  <c r="M21"/>
  <c r="K21"/>
  <c r="I21"/>
  <c r="G21"/>
  <c r="E21"/>
  <c r="P20"/>
  <c r="O20"/>
  <c r="M20"/>
  <c r="K20"/>
  <c r="I20"/>
  <c r="G20"/>
  <c r="E20"/>
  <c r="P19"/>
  <c r="O19"/>
  <c r="M19"/>
  <c r="K19"/>
  <c r="I19"/>
  <c r="G19"/>
  <c r="E19"/>
  <c r="P18"/>
  <c r="O18"/>
  <c r="M18"/>
  <c r="K18"/>
  <c r="I18"/>
  <c r="G18"/>
  <c r="E18"/>
  <c r="P17"/>
  <c r="O17"/>
  <c r="M17"/>
  <c r="K17"/>
  <c r="I17"/>
  <c r="G17"/>
  <c r="E17"/>
  <c r="P16"/>
  <c r="O16"/>
  <c r="M16"/>
  <c r="K16"/>
  <c r="I16"/>
  <c r="G16"/>
  <c r="E16"/>
  <c r="P15"/>
  <c r="O15"/>
  <c r="M15"/>
  <c r="K15"/>
  <c r="I15"/>
  <c r="G15"/>
  <c r="E15"/>
  <c r="P14"/>
  <c r="O14"/>
  <c r="M14"/>
  <c r="K14"/>
  <c r="I14"/>
  <c r="G14"/>
  <c r="E14"/>
  <c r="P13"/>
  <c r="O13"/>
  <c r="M13"/>
  <c r="K13"/>
  <c r="I13"/>
  <c r="G13"/>
  <c r="E13"/>
  <c r="P12"/>
  <c r="O12"/>
  <c r="M12"/>
  <c r="K12"/>
  <c r="I12"/>
  <c r="G12"/>
  <c r="E12"/>
  <c r="P11"/>
  <c r="O11"/>
  <c r="M11"/>
  <c r="K11"/>
  <c r="I11"/>
  <c r="G11"/>
  <c r="E11"/>
  <c r="P10"/>
  <c r="O10"/>
  <c r="M10"/>
  <c r="K10"/>
  <c r="I10"/>
  <c r="G10"/>
  <c r="E10"/>
  <c r="P152" i="3"/>
  <c r="O152"/>
  <c r="M152"/>
  <c r="K152"/>
  <c r="I152"/>
  <c r="G152"/>
  <c r="E152"/>
  <c r="P151"/>
  <c r="O151"/>
  <c r="M151"/>
  <c r="K151"/>
  <c r="I151"/>
  <c r="G151"/>
  <c r="E151"/>
  <c r="P150"/>
  <c r="O150"/>
  <c r="M150"/>
  <c r="K150"/>
  <c r="I150"/>
  <c r="G150"/>
  <c r="E150"/>
  <c r="P149"/>
  <c r="O149"/>
  <c r="M149"/>
  <c r="K149"/>
  <c r="I149"/>
  <c r="G149"/>
  <c r="E149"/>
  <c r="P148"/>
  <c r="O148"/>
  <c r="M148"/>
  <c r="K148"/>
  <c r="I148"/>
  <c r="G148"/>
  <c r="E148"/>
  <c r="P147"/>
  <c r="O147"/>
  <c r="M147"/>
  <c r="K147"/>
  <c r="I147"/>
  <c r="G147"/>
  <c r="E147"/>
  <c r="P146"/>
  <c r="O146"/>
  <c r="M146"/>
  <c r="K146"/>
  <c r="I146"/>
  <c r="G146"/>
  <c r="E146"/>
  <c r="P145"/>
  <c r="O145"/>
  <c r="M145"/>
  <c r="K145"/>
  <c r="I145"/>
  <c r="G145"/>
  <c r="E145"/>
  <c r="P144"/>
  <c r="O144"/>
  <c r="M144"/>
  <c r="K144"/>
  <c r="I144"/>
  <c r="G144"/>
  <c r="E144"/>
  <c r="P143"/>
  <c r="O143"/>
  <c r="M143"/>
  <c r="K143"/>
  <c r="I143"/>
  <c r="G143"/>
  <c r="E143"/>
  <c r="P142"/>
  <c r="O142"/>
  <c r="M142"/>
  <c r="K142"/>
  <c r="I142"/>
  <c r="G142"/>
  <c r="E142"/>
  <c r="P141"/>
  <c r="O141"/>
  <c r="M141"/>
  <c r="K141"/>
  <c r="I141"/>
  <c r="G141"/>
  <c r="E141"/>
  <c r="P140"/>
  <c r="O140"/>
  <c r="M140"/>
  <c r="K140"/>
  <c r="I140"/>
  <c r="G140"/>
  <c r="E140"/>
  <c r="P139"/>
  <c r="O139"/>
  <c r="M139"/>
  <c r="K139"/>
  <c r="I139"/>
  <c r="G139"/>
  <c r="E139"/>
  <c r="P138"/>
  <c r="O138"/>
  <c r="M138"/>
  <c r="K138"/>
  <c r="I138"/>
  <c r="G138"/>
  <c r="E138"/>
  <c r="P136"/>
  <c r="O136"/>
  <c r="M136"/>
  <c r="K136"/>
  <c r="I136"/>
  <c r="G136"/>
  <c r="E136"/>
  <c r="P135"/>
  <c r="O135"/>
  <c r="M135"/>
  <c r="K135"/>
  <c r="I135"/>
  <c r="G135"/>
  <c r="E135"/>
  <c r="P134"/>
  <c r="O134"/>
  <c r="M134"/>
  <c r="K134"/>
  <c r="I134"/>
  <c r="G134"/>
  <c r="E134"/>
  <c r="P133"/>
  <c r="O133"/>
  <c r="M133"/>
  <c r="K133"/>
  <c r="I133"/>
  <c r="G133"/>
  <c r="E133"/>
  <c r="P132"/>
  <c r="O132"/>
  <c r="M132"/>
  <c r="K132"/>
  <c r="I132"/>
  <c r="G132"/>
  <c r="E132"/>
  <c r="P131"/>
  <c r="O131"/>
  <c r="M131"/>
  <c r="K131"/>
  <c r="I131"/>
  <c r="G131"/>
  <c r="E131"/>
  <c r="P130"/>
  <c r="O130"/>
  <c r="M130"/>
  <c r="K130"/>
  <c r="I130"/>
  <c r="G130"/>
  <c r="E130"/>
  <c r="P129"/>
  <c r="O129"/>
  <c r="M129"/>
  <c r="K129"/>
  <c r="I129"/>
  <c r="G129"/>
  <c r="E129"/>
  <c r="P128"/>
  <c r="O128"/>
  <c r="M128"/>
  <c r="K128"/>
  <c r="I128"/>
  <c r="G128"/>
  <c r="E128"/>
  <c r="P127"/>
  <c r="O127"/>
  <c r="M127"/>
  <c r="K127"/>
  <c r="I127"/>
  <c r="G127"/>
  <c r="E127"/>
  <c r="P126"/>
  <c r="O126"/>
  <c r="M126"/>
  <c r="K126"/>
  <c r="I126"/>
  <c r="G126"/>
  <c r="E126"/>
  <c r="P125"/>
  <c r="O125"/>
  <c r="M125"/>
  <c r="K125"/>
  <c r="I125"/>
  <c r="G125"/>
  <c r="E125"/>
  <c r="P124"/>
  <c r="O124"/>
  <c r="M124"/>
  <c r="K124"/>
  <c r="I124"/>
  <c r="G124"/>
  <c r="E124"/>
  <c r="P123"/>
  <c r="O123"/>
  <c r="M123"/>
  <c r="K123"/>
  <c r="I123"/>
  <c r="G123"/>
  <c r="E123"/>
  <c r="P122"/>
  <c r="P121" s="1"/>
  <c r="O122"/>
  <c r="M122"/>
  <c r="K122"/>
  <c r="I122"/>
  <c r="I121" s="1"/>
  <c r="G122"/>
  <c r="E122"/>
  <c r="P120"/>
  <c r="O120"/>
  <c r="M120"/>
  <c r="K120"/>
  <c r="I120"/>
  <c r="G120"/>
  <c r="E120"/>
  <c r="P119"/>
  <c r="O119"/>
  <c r="M119"/>
  <c r="K119"/>
  <c r="I119"/>
  <c r="G119"/>
  <c r="E119"/>
  <c r="P118"/>
  <c r="O118"/>
  <c r="M118"/>
  <c r="K118"/>
  <c r="I118"/>
  <c r="G118"/>
  <c r="E118"/>
  <c r="P117"/>
  <c r="O117"/>
  <c r="M117"/>
  <c r="K117"/>
  <c r="I117"/>
  <c r="G117"/>
  <c r="E117"/>
  <c r="P116"/>
  <c r="O116"/>
  <c r="M116"/>
  <c r="K116"/>
  <c r="I116"/>
  <c r="G116"/>
  <c r="E116"/>
  <c r="P115"/>
  <c r="O115"/>
  <c r="M115"/>
  <c r="K115"/>
  <c r="I115"/>
  <c r="G115"/>
  <c r="E115"/>
  <c r="P114"/>
  <c r="O114"/>
  <c r="M114"/>
  <c r="K114"/>
  <c r="I114"/>
  <c r="G114"/>
  <c r="E114"/>
  <c r="P113"/>
  <c r="O113"/>
  <c r="M113"/>
  <c r="K113"/>
  <c r="I113"/>
  <c r="G113"/>
  <c r="E113"/>
  <c r="P112"/>
  <c r="O112"/>
  <c r="M112"/>
  <c r="K112"/>
  <c r="I112"/>
  <c r="G112"/>
  <c r="E112"/>
  <c r="P111"/>
  <c r="O111"/>
  <c r="M111"/>
  <c r="K111"/>
  <c r="I111"/>
  <c r="G111"/>
  <c r="E111"/>
  <c r="P110"/>
  <c r="O110"/>
  <c r="M110"/>
  <c r="K110"/>
  <c r="I110"/>
  <c r="G110"/>
  <c r="E110"/>
  <c r="P109"/>
  <c r="O109"/>
  <c r="M109"/>
  <c r="K109"/>
  <c r="I109"/>
  <c r="G109"/>
  <c r="E109"/>
  <c r="P108"/>
  <c r="O108"/>
  <c r="M108"/>
  <c r="K108"/>
  <c r="I108"/>
  <c r="G108"/>
  <c r="E108"/>
  <c r="P107"/>
  <c r="O107"/>
  <c r="M107"/>
  <c r="K107"/>
  <c r="I107"/>
  <c r="G107"/>
  <c r="E107"/>
  <c r="P106"/>
  <c r="O106"/>
  <c r="M106"/>
  <c r="K106"/>
  <c r="K105" s="1"/>
  <c r="I106"/>
  <c r="G106"/>
  <c r="E106"/>
  <c r="P104"/>
  <c r="O104"/>
  <c r="M104"/>
  <c r="K104"/>
  <c r="I104"/>
  <c r="G104"/>
  <c r="E104"/>
  <c r="P103"/>
  <c r="O103"/>
  <c r="M103"/>
  <c r="K103"/>
  <c r="I103"/>
  <c r="G103"/>
  <c r="E103"/>
  <c r="P102"/>
  <c r="O102"/>
  <c r="M102"/>
  <c r="K102"/>
  <c r="I102"/>
  <c r="G102"/>
  <c r="E102"/>
  <c r="P101"/>
  <c r="O101"/>
  <c r="M101"/>
  <c r="K101"/>
  <c r="I101"/>
  <c r="G101"/>
  <c r="E101"/>
  <c r="P100"/>
  <c r="O100"/>
  <c r="M100"/>
  <c r="K100"/>
  <c r="I100"/>
  <c r="G100"/>
  <c r="E100"/>
  <c r="P99"/>
  <c r="O99"/>
  <c r="M99"/>
  <c r="K99"/>
  <c r="I99"/>
  <c r="G99"/>
  <c r="E99"/>
  <c r="P98"/>
  <c r="O98"/>
  <c r="M98"/>
  <c r="K98"/>
  <c r="I98"/>
  <c r="G98"/>
  <c r="E98"/>
  <c r="P97"/>
  <c r="O97"/>
  <c r="M97"/>
  <c r="K97"/>
  <c r="I97"/>
  <c r="G97"/>
  <c r="E97"/>
  <c r="P96"/>
  <c r="O96"/>
  <c r="M96"/>
  <c r="K96"/>
  <c r="I96"/>
  <c r="G96"/>
  <c r="E96"/>
  <c r="P95"/>
  <c r="O95"/>
  <c r="M95"/>
  <c r="K95"/>
  <c r="I95"/>
  <c r="G95"/>
  <c r="E95"/>
  <c r="P94"/>
  <c r="O94"/>
  <c r="M94"/>
  <c r="K94"/>
  <c r="I94"/>
  <c r="G94"/>
  <c r="E94"/>
  <c r="P93"/>
  <c r="O93"/>
  <c r="M93"/>
  <c r="K93"/>
  <c r="I93"/>
  <c r="G93"/>
  <c r="E93"/>
  <c r="P92"/>
  <c r="O92"/>
  <c r="M92"/>
  <c r="K92"/>
  <c r="I92"/>
  <c r="G92"/>
  <c r="E92"/>
  <c r="P91"/>
  <c r="O91"/>
  <c r="M91"/>
  <c r="K91"/>
  <c r="I91"/>
  <c r="G91"/>
  <c r="E91"/>
  <c r="P90"/>
  <c r="O90"/>
  <c r="M90"/>
  <c r="M89" s="1"/>
  <c r="K90"/>
  <c r="I90"/>
  <c r="G90"/>
  <c r="E90"/>
  <c r="P88"/>
  <c r="O88"/>
  <c r="M88"/>
  <c r="K88"/>
  <c r="I88"/>
  <c r="G88"/>
  <c r="E88"/>
  <c r="P87"/>
  <c r="O87"/>
  <c r="M87"/>
  <c r="K87"/>
  <c r="I87"/>
  <c r="G87"/>
  <c r="E87"/>
  <c r="P86"/>
  <c r="O86"/>
  <c r="M86"/>
  <c r="K86"/>
  <c r="I86"/>
  <c r="G86"/>
  <c r="E86"/>
  <c r="P85"/>
  <c r="O85"/>
  <c r="M85"/>
  <c r="K85"/>
  <c r="I85"/>
  <c r="G85"/>
  <c r="E85"/>
  <c r="P84"/>
  <c r="O84"/>
  <c r="M84"/>
  <c r="K84"/>
  <c r="I84"/>
  <c r="G84"/>
  <c r="E84"/>
  <c r="P83"/>
  <c r="O83"/>
  <c r="M83"/>
  <c r="K83"/>
  <c r="I83"/>
  <c r="G83"/>
  <c r="E83"/>
  <c r="P82"/>
  <c r="O82"/>
  <c r="M82"/>
  <c r="K82"/>
  <c r="I82"/>
  <c r="G82"/>
  <c r="E82"/>
  <c r="P81"/>
  <c r="O81"/>
  <c r="M81"/>
  <c r="K81"/>
  <c r="I81"/>
  <c r="G81"/>
  <c r="E81"/>
  <c r="P80"/>
  <c r="O80"/>
  <c r="M80"/>
  <c r="K80"/>
  <c r="I80"/>
  <c r="G80"/>
  <c r="E80"/>
  <c r="P79"/>
  <c r="O79"/>
  <c r="M79"/>
  <c r="K79"/>
  <c r="I79"/>
  <c r="G79"/>
  <c r="E79"/>
  <c r="P78"/>
  <c r="O78"/>
  <c r="M78"/>
  <c r="K78"/>
  <c r="I78"/>
  <c r="G78"/>
  <c r="E78"/>
  <c r="P77"/>
  <c r="O77"/>
  <c r="M77"/>
  <c r="K77"/>
  <c r="I77"/>
  <c r="G77"/>
  <c r="E77"/>
  <c r="P76"/>
  <c r="O76"/>
  <c r="M76"/>
  <c r="K76"/>
  <c r="I76"/>
  <c r="G76"/>
  <c r="E76"/>
  <c r="P75"/>
  <c r="O75"/>
  <c r="M75"/>
  <c r="K75"/>
  <c r="I75"/>
  <c r="G75"/>
  <c r="E75"/>
  <c r="P74"/>
  <c r="O74"/>
  <c r="O73" s="1"/>
  <c r="M74"/>
  <c r="K74"/>
  <c r="I74"/>
  <c r="G74"/>
  <c r="G73" s="1"/>
  <c r="E74"/>
  <c r="P72"/>
  <c r="O72"/>
  <c r="M72"/>
  <c r="K72"/>
  <c r="I72"/>
  <c r="G72"/>
  <c r="E72"/>
  <c r="P71"/>
  <c r="O71"/>
  <c r="M71"/>
  <c r="K71"/>
  <c r="I71"/>
  <c r="G71"/>
  <c r="E71"/>
  <c r="P70"/>
  <c r="O70"/>
  <c r="M70"/>
  <c r="K70"/>
  <c r="I70"/>
  <c r="G70"/>
  <c r="E70"/>
  <c r="P69"/>
  <c r="O69"/>
  <c r="M69"/>
  <c r="K69"/>
  <c r="I69"/>
  <c r="G69"/>
  <c r="E69"/>
  <c r="P68"/>
  <c r="O68"/>
  <c r="M68"/>
  <c r="K68"/>
  <c r="I68"/>
  <c r="G68"/>
  <c r="E68"/>
  <c r="P67"/>
  <c r="O67"/>
  <c r="M67"/>
  <c r="K67"/>
  <c r="I67"/>
  <c r="G67"/>
  <c r="E67"/>
  <c r="P66"/>
  <c r="O66"/>
  <c r="M66"/>
  <c r="K66"/>
  <c r="I66"/>
  <c r="G66"/>
  <c r="E66"/>
  <c r="P65"/>
  <c r="O65"/>
  <c r="M65"/>
  <c r="K65"/>
  <c r="I65"/>
  <c r="G65"/>
  <c r="E65"/>
  <c r="P64"/>
  <c r="O64"/>
  <c r="M64"/>
  <c r="K64"/>
  <c r="I64"/>
  <c r="G64"/>
  <c r="E64"/>
  <c r="P63"/>
  <c r="O63"/>
  <c r="M63"/>
  <c r="K63"/>
  <c r="I63"/>
  <c r="G63"/>
  <c r="E63"/>
  <c r="P62"/>
  <c r="O62"/>
  <c r="M62"/>
  <c r="K62"/>
  <c r="I62"/>
  <c r="G62"/>
  <c r="E62"/>
  <c r="P61"/>
  <c r="O61"/>
  <c r="M61"/>
  <c r="K61"/>
  <c r="I61"/>
  <c r="G61"/>
  <c r="E61"/>
  <c r="P60"/>
  <c r="O60"/>
  <c r="M60"/>
  <c r="K60"/>
  <c r="I60"/>
  <c r="G60"/>
  <c r="E60"/>
  <c r="P59"/>
  <c r="O59"/>
  <c r="M59"/>
  <c r="K59"/>
  <c r="I59"/>
  <c r="G59"/>
  <c r="E59"/>
  <c r="P58"/>
  <c r="P57" s="1"/>
  <c r="O58"/>
  <c r="M58"/>
  <c r="K58"/>
  <c r="I58"/>
  <c r="I57" s="1"/>
  <c r="G58"/>
  <c r="E58"/>
  <c r="P56"/>
  <c r="O56"/>
  <c r="M56"/>
  <c r="K56"/>
  <c r="I56"/>
  <c r="G56"/>
  <c r="E56"/>
  <c r="P55"/>
  <c r="O55"/>
  <c r="M55"/>
  <c r="K55"/>
  <c r="I55"/>
  <c r="G55"/>
  <c r="E55"/>
  <c r="P54"/>
  <c r="O54"/>
  <c r="M54"/>
  <c r="K54"/>
  <c r="I54"/>
  <c r="G54"/>
  <c r="E54"/>
  <c r="P53"/>
  <c r="O53"/>
  <c r="M53"/>
  <c r="K53"/>
  <c r="I53"/>
  <c r="G53"/>
  <c r="E53"/>
  <c r="P52"/>
  <c r="O52"/>
  <c r="M52"/>
  <c r="K52"/>
  <c r="I52"/>
  <c r="G52"/>
  <c r="E52"/>
  <c r="P51"/>
  <c r="O51"/>
  <c r="M51"/>
  <c r="K51"/>
  <c r="I51"/>
  <c r="G51"/>
  <c r="E51"/>
  <c r="P50"/>
  <c r="O50"/>
  <c r="M50"/>
  <c r="K50"/>
  <c r="I50"/>
  <c r="G50"/>
  <c r="E50"/>
  <c r="P49"/>
  <c r="O49"/>
  <c r="M49"/>
  <c r="K49"/>
  <c r="I49"/>
  <c r="G49"/>
  <c r="E49"/>
  <c r="P48"/>
  <c r="O48"/>
  <c r="M48"/>
  <c r="K48"/>
  <c r="I48"/>
  <c r="G48"/>
  <c r="E48"/>
  <c r="P47"/>
  <c r="O47"/>
  <c r="M47"/>
  <c r="K47"/>
  <c r="I47"/>
  <c r="G47"/>
  <c r="E47"/>
  <c r="P46"/>
  <c r="O46"/>
  <c r="M46"/>
  <c r="K46"/>
  <c r="I46"/>
  <c r="G46"/>
  <c r="E46"/>
  <c r="P45"/>
  <c r="O45"/>
  <c r="M45"/>
  <c r="K45"/>
  <c r="I45"/>
  <c r="G45"/>
  <c r="E45"/>
  <c r="P44"/>
  <c r="O44"/>
  <c r="M44"/>
  <c r="K44"/>
  <c r="I44"/>
  <c r="G44"/>
  <c r="E44"/>
  <c r="P43"/>
  <c r="O43"/>
  <c r="M43"/>
  <c r="K43"/>
  <c r="I43"/>
  <c r="G43"/>
  <c r="E43"/>
  <c r="P42"/>
  <c r="O42"/>
  <c r="M42"/>
  <c r="K42"/>
  <c r="K41" s="1"/>
  <c r="I42"/>
  <c r="G42"/>
  <c r="E42"/>
  <c r="P40"/>
  <c r="O40"/>
  <c r="M40"/>
  <c r="K40"/>
  <c r="I40"/>
  <c r="G40"/>
  <c r="E40"/>
  <c r="P39"/>
  <c r="O39"/>
  <c r="M39"/>
  <c r="K39"/>
  <c r="I39"/>
  <c r="G39"/>
  <c r="E39"/>
  <c r="P38"/>
  <c r="O38"/>
  <c r="M38"/>
  <c r="K38"/>
  <c r="I38"/>
  <c r="G38"/>
  <c r="E38"/>
  <c r="P37"/>
  <c r="O37"/>
  <c r="M37"/>
  <c r="K37"/>
  <c r="I37"/>
  <c r="G37"/>
  <c r="E37"/>
  <c r="P36"/>
  <c r="O36"/>
  <c r="M36"/>
  <c r="K36"/>
  <c r="I36"/>
  <c r="G36"/>
  <c r="E36"/>
  <c r="P35"/>
  <c r="O35"/>
  <c r="M35"/>
  <c r="K35"/>
  <c r="I35"/>
  <c r="G35"/>
  <c r="E35"/>
  <c r="P34"/>
  <c r="O34"/>
  <c r="M34"/>
  <c r="K34"/>
  <c r="I34"/>
  <c r="G34"/>
  <c r="E34"/>
  <c r="P33"/>
  <c r="O33"/>
  <c r="M33"/>
  <c r="K33"/>
  <c r="I33"/>
  <c r="G33"/>
  <c r="E33"/>
  <c r="P32"/>
  <c r="O32"/>
  <c r="M32"/>
  <c r="K32"/>
  <c r="I32"/>
  <c r="G32"/>
  <c r="E32"/>
  <c r="P31"/>
  <c r="O31"/>
  <c r="M31"/>
  <c r="K31"/>
  <c r="I31"/>
  <c r="G31"/>
  <c r="E31"/>
  <c r="P30"/>
  <c r="O30"/>
  <c r="M30"/>
  <c r="K30"/>
  <c r="I30"/>
  <c r="G30"/>
  <c r="E30"/>
  <c r="P29"/>
  <c r="O29"/>
  <c r="M29"/>
  <c r="K29"/>
  <c r="I29"/>
  <c r="G29"/>
  <c r="E29"/>
  <c r="P28"/>
  <c r="O28"/>
  <c r="M28"/>
  <c r="K28"/>
  <c r="I28"/>
  <c r="G28"/>
  <c r="E28"/>
  <c r="P27"/>
  <c r="O27"/>
  <c r="M27"/>
  <c r="K27"/>
  <c r="I27"/>
  <c r="G27"/>
  <c r="E27"/>
  <c r="P26"/>
  <c r="O26"/>
  <c r="M26"/>
  <c r="M25" s="1"/>
  <c r="K26"/>
  <c r="I26"/>
  <c r="G26"/>
  <c r="E26"/>
  <c r="P24"/>
  <c r="O24"/>
  <c r="M24"/>
  <c r="K24"/>
  <c r="I24"/>
  <c r="G24"/>
  <c r="E24"/>
  <c r="P23"/>
  <c r="O23"/>
  <c r="M23"/>
  <c r="K23"/>
  <c r="I23"/>
  <c r="G23"/>
  <c r="E23"/>
  <c r="P22"/>
  <c r="O22"/>
  <c r="M22"/>
  <c r="K22"/>
  <c r="I22"/>
  <c r="G22"/>
  <c r="E22"/>
  <c r="P21"/>
  <c r="O21"/>
  <c r="M21"/>
  <c r="K21"/>
  <c r="I21"/>
  <c r="G21"/>
  <c r="E21"/>
  <c r="P20"/>
  <c r="O20"/>
  <c r="M20"/>
  <c r="K20"/>
  <c r="I20"/>
  <c r="G20"/>
  <c r="E20"/>
  <c r="P19"/>
  <c r="O19"/>
  <c r="M19"/>
  <c r="K19"/>
  <c r="I19"/>
  <c r="G19"/>
  <c r="E19"/>
  <c r="P18"/>
  <c r="O18"/>
  <c r="M18"/>
  <c r="K18"/>
  <c r="I18"/>
  <c r="G18"/>
  <c r="E18"/>
  <c r="P17"/>
  <c r="O17"/>
  <c r="M17"/>
  <c r="K17"/>
  <c r="I17"/>
  <c r="G17"/>
  <c r="E17"/>
  <c r="P16"/>
  <c r="O16"/>
  <c r="M16"/>
  <c r="K16"/>
  <c r="I16"/>
  <c r="G16"/>
  <c r="E16"/>
  <c r="P15"/>
  <c r="O15"/>
  <c r="M15"/>
  <c r="K15"/>
  <c r="I15"/>
  <c r="G15"/>
  <c r="E15"/>
  <c r="P14"/>
  <c r="O14"/>
  <c r="M14"/>
  <c r="K14"/>
  <c r="I14"/>
  <c r="G14"/>
  <c r="E14"/>
  <c r="P13"/>
  <c r="O13"/>
  <c r="M13"/>
  <c r="K13"/>
  <c r="I13"/>
  <c r="G13"/>
  <c r="E13"/>
  <c r="P12"/>
  <c r="O12"/>
  <c r="M12"/>
  <c r="K12"/>
  <c r="I12"/>
  <c r="G12"/>
  <c r="E12"/>
  <c r="P11"/>
  <c r="O11"/>
  <c r="M11"/>
  <c r="K11"/>
  <c r="I11"/>
  <c r="G11"/>
  <c r="E11"/>
  <c r="P10"/>
  <c r="O10"/>
  <c r="M10"/>
  <c r="K10"/>
  <c r="I10"/>
  <c r="G10"/>
  <c r="E10"/>
  <c r="P152" i="1"/>
  <c r="O152"/>
  <c r="M152"/>
  <c r="K152"/>
  <c r="I152"/>
  <c r="G152"/>
  <c r="E152"/>
  <c r="P151"/>
  <c r="O151"/>
  <c r="M151"/>
  <c r="K151"/>
  <c r="I151"/>
  <c r="G151"/>
  <c r="E151"/>
  <c r="P150"/>
  <c r="O150"/>
  <c r="M150"/>
  <c r="K150"/>
  <c r="I150"/>
  <c r="G150"/>
  <c r="E150"/>
  <c r="P149"/>
  <c r="O149"/>
  <c r="M149"/>
  <c r="K149"/>
  <c r="I149"/>
  <c r="G149"/>
  <c r="E149"/>
  <c r="K137" i="4" l="1"/>
  <c r="G137" i="3"/>
  <c r="O137"/>
  <c r="M9"/>
  <c r="K25"/>
  <c r="P41"/>
  <c r="G57"/>
  <c r="I105"/>
  <c r="G121"/>
  <c r="I25"/>
  <c r="P25"/>
  <c r="G41"/>
  <c r="O41"/>
  <c r="M57"/>
  <c r="K73"/>
  <c r="I89"/>
  <c r="P89"/>
  <c r="G105"/>
  <c r="O105"/>
  <c r="M121"/>
  <c r="K137"/>
  <c r="I41"/>
  <c r="O57"/>
  <c r="M73"/>
  <c r="K89"/>
  <c r="P105"/>
  <c r="O121"/>
  <c r="M137"/>
  <c r="G25"/>
  <c r="O25"/>
  <c r="M41"/>
  <c r="K57"/>
  <c r="I73"/>
  <c r="P73"/>
  <c r="G89"/>
  <c r="O89"/>
  <c r="M105"/>
  <c r="K121"/>
  <c r="I137"/>
  <c r="P137"/>
  <c r="K9"/>
  <c r="G9"/>
  <c r="O9"/>
  <c r="I9"/>
  <c r="P9"/>
  <c r="O25" i="4"/>
  <c r="K57"/>
  <c r="I73"/>
  <c r="G89"/>
  <c r="M105"/>
  <c r="K121"/>
  <c r="I137"/>
  <c r="P137"/>
  <c r="M9"/>
  <c r="K25"/>
  <c r="I41"/>
  <c r="P41"/>
  <c r="G57"/>
  <c r="O57"/>
  <c r="M73"/>
  <c r="K89"/>
  <c r="I105"/>
  <c r="P105"/>
  <c r="G121"/>
  <c r="O121"/>
  <c r="M137"/>
  <c r="G25"/>
  <c r="M41"/>
  <c r="P73"/>
  <c r="O89"/>
  <c r="M25"/>
  <c r="K41"/>
  <c r="I57"/>
  <c r="P57"/>
  <c r="G73"/>
  <c r="O73"/>
  <c r="M89"/>
  <c r="K105"/>
  <c r="I121"/>
  <c r="P121"/>
  <c r="G137"/>
  <c r="O137"/>
  <c r="I9"/>
  <c r="P9"/>
  <c r="K9"/>
  <c r="G9"/>
  <c r="O9"/>
  <c r="Q61"/>
  <c r="Q69"/>
  <c r="Q75"/>
  <c r="Q79"/>
  <c r="Q83"/>
  <c r="Q97"/>
  <c r="Q110"/>
  <c r="Q125"/>
  <c r="Q138"/>
  <c r="Q56"/>
  <c r="Q67"/>
  <c r="Q70"/>
  <c r="Q74"/>
  <c r="Q78"/>
  <c r="Q82"/>
  <c r="Q88"/>
  <c r="Q93"/>
  <c r="Q106"/>
  <c r="Q26"/>
  <c r="Q34"/>
  <c r="Q47"/>
  <c r="Q51"/>
  <c r="Q62"/>
  <c r="Q113"/>
  <c r="Q126"/>
  <c r="Q139"/>
  <c r="Q54"/>
  <c r="Q63"/>
  <c r="Q65"/>
  <c r="Q118"/>
  <c r="Q129"/>
  <c r="Q131"/>
  <c r="Q144"/>
  <c r="Q30"/>
  <c r="Q38"/>
  <c r="Q43"/>
  <c r="Q115"/>
  <c r="Q141"/>
  <c r="Q55"/>
  <c r="Q119"/>
  <c r="Q124"/>
  <c r="Q132"/>
  <c r="Q134"/>
  <c r="Q145"/>
  <c r="E145" i="7"/>
  <c r="Q12" i="3"/>
  <c r="Q20"/>
  <c r="Q29"/>
  <c r="Q37"/>
  <c r="Q46"/>
  <c r="Q54"/>
  <c r="Q63"/>
  <c r="Q71"/>
  <c r="Q80"/>
  <c r="Q88"/>
  <c r="Q97"/>
  <c r="Q106"/>
  <c r="Q114"/>
  <c r="Q123"/>
  <c r="Q131"/>
  <c r="Q140"/>
  <c r="Q152"/>
  <c r="D144" i="7"/>
  <c r="H144"/>
  <c r="Q16" i="3"/>
  <c r="Q24"/>
  <c r="Q33"/>
  <c r="Q42"/>
  <c r="Q50"/>
  <c r="Q59"/>
  <c r="Q67"/>
  <c r="Q84"/>
  <c r="Q93"/>
  <c r="Q101"/>
  <c r="Q110"/>
  <c r="Q118"/>
  <c r="Q127"/>
  <c r="Q135"/>
  <c r="Q144"/>
  <c r="Q148"/>
  <c r="Q27" i="4"/>
  <c r="Q35"/>
  <c r="Q44"/>
  <c r="Q50"/>
  <c r="Q58"/>
  <c r="Q94"/>
  <c r="Q107"/>
  <c r="Q114"/>
  <c r="Q120"/>
  <c r="Q133"/>
  <c r="Q140"/>
  <c r="Q146"/>
  <c r="Q14"/>
  <c r="Q15"/>
  <c r="Q18"/>
  <c r="Q19"/>
  <c r="Q24"/>
  <c r="Q29"/>
  <c r="Q37"/>
  <c r="Q42"/>
  <c r="Q46"/>
  <c r="Q53"/>
  <c r="Q60"/>
  <c r="Q87"/>
  <c r="Q92"/>
  <c r="Q96"/>
  <c r="Q100"/>
  <c r="Q104"/>
  <c r="Q112"/>
  <c r="Q117"/>
  <c r="Q123"/>
  <c r="Q130"/>
  <c r="Q136"/>
  <c r="Q143"/>
  <c r="Q31"/>
  <c r="Q39"/>
  <c r="Q48"/>
  <c r="Q64"/>
  <c r="Q90"/>
  <c r="Q98"/>
  <c r="Q102"/>
  <c r="Q127"/>
  <c r="Q28"/>
  <c r="Q32"/>
  <c r="Q36"/>
  <c r="Q40"/>
  <c r="Q45"/>
  <c r="Q52"/>
  <c r="Q59"/>
  <c r="Q66"/>
  <c r="Q71"/>
  <c r="Q72"/>
  <c r="Q76"/>
  <c r="Q77"/>
  <c r="Q80"/>
  <c r="Q81"/>
  <c r="Q84"/>
  <c r="Q86"/>
  <c r="Q91"/>
  <c r="Q95"/>
  <c r="Q99"/>
  <c r="Q103"/>
  <c r="Q108"/>
  <c r="Q111"/>
  <c r="Q116"/>
  <c r="Q122"/>
  <c r="Q128"/>
  <c r="Q135"/>
  <c r="Q142"/>
  <c r="Q11"/>
  <c r="Q10"/>
  <c r="Q13"/>
  <c r="Q23"/>
  <c r="Q12"/>
  <c r="Q16"/>
  <c r="Q17"/>
  <c r="Q20"/>
  <c r="Q22"/>
  <c r="Q76" i="3"/>
  <c r="G144" i="7"/>
  <c r="D145"/>
  <c r="H145"/>
  <c r="E146"/>
  <c r="F147"/>
  <c r="Q13" i="3"/>
  <c r="Q17"/>
  <c r="Q21"/>
  <c r="Q26"/>
  <c r="Q30"/>
  <c r="Q34"/>
  <c r="Q38"/>
  <c r="Q43"/>
  <c r="Q47"/>
  <c r="Q51"/>
  <c r="Q55"/>
  <c r="Q60"/>
  <c r="Q64"/>
  <c r="Q68"/>
  <c r="Q72"/>
  <c r="Q77"/>
  <c r="Q81"/>
  <c r="Q85"/>
  <c r="Q90"/>
  <c r="Q94"/>
  <c r="Q98"/>
  <c r="Q102"/>
  <c r="Q107"/>
  <c r="Q111"/>
  <c r="Q115"/>
  <c r="Q119"/>
  <c r="Q124"/>
  <c r="Q128"/>
  <c r="Q132"/>
  <c r="Q136"/>
  <c r="Q141"/>
  <c r="Q145"/>
  <c r="Q149"/>
  <c r="F144" i="7"/>
  <c r="D146"/>
  <c r="H146"/>
  <c r="E147"/>
  <c r="Q10" i="3"/>
  <c r="Q14"/>
  <c r="Q18"/>
  <c r="Q22"/>
  <c r="Q27"/>
  <c r="Q31"/>
  <c r="Q35"/>
  <c r="Q39"/>
  <c r="Q44"/>
  <c r="Q48"/>
  <c r="Q52"/>
  <c r="Q56"/>
  <c r="Q61"/>
  <c r="Q65"/>
  <c r="Q69"/>
  <c r="Q74"/>
  <c r="Q78"/>
  <c r="Q82"/>
  <c r="Q86"/>
  <c r="Q91"/>
  <c r="Q95"/>
  <c r="Q99"/>
  <c r="Q103"/>
  <c r="Q108"/>
  <c r="Q112"/>
  <c r="Q116"/>
  <c r="Q120"/>
  <c r="Q125"/>
  <c r="Q129"/>
  <c r="Q133"/>
  <c r="Q138"/>
  <c r="Q142"/>
  <c r="Q146"/>
  <c r="Q150"/>
  <c r="Q151"/>
  <c r="E144" i="7"/>
  <c r="D147"/>
  <c r="H147"/>
  <c r="Q11" i="3"/>
  <c r="Q15"/>
  <c r="Q19"/>
  <c r="Q23"/>
  <c r="Q28"/>
  <c r="Q32"/>
  <c r="Q36"/>
  <c r="Q40"/>
  <c r="Q45"/>
  <c r="Q49"/>
  <c r="Q53"/>
  <c r="Q58"/>
  <c r="Q62"/>
  <c r="Q66"/>
  <c r="Q70"/>
  <c r="Q75"/>
  <c r="Q79"/>
  <c r="Q83"/>
  <c r="Q87"/>
  <c r="Q92"/>
  <c r="Q96"/>
  <c r="Q100"/>
  <c r="Q104"/>
  <c r="Q109"/>
  <c r="Q113"/>
  <c r="Q117"/>
  <c r="Q122"/>
  <c r="Q121" s="1"/>
  <c r="Q126"/>
  <c r="Q130"/>
  <c r="Q134"/>
  <c r="Q139"/>
  <c r="Q143"/>
  <c r="Q147"/>
  <c r="Q33" i="4"/>
  <c r="Q101"/>
  <c r="Q68"/>
  <c r="Q21"/>
  <c r="Q85"/>
  <c r="Q49"/>
  <c r="Q109"/>
  <c r="F145" i="7"/>
  <c r="G146"/>
  <c r="G145"/>
  <c r="F146"/>
  <c r="G147"/>
  <c r="Q149" i="1"/>
  <c r="Q150"/>
  <c r="Q151"/>
  <c r="Q152"/>
  <c r="P148"/>
  <c r="O148"/>
  <c r="H143" i="7" s="1"/>
  <c r="M148" i="1"/>
  <c r="G143" i="7" s="1"/>
  <c r="K148" i="1"/>
  <c r="F143" i="7" s="1"/>
  <c r="I148" i="1"/>
  <c r="E143" i="7" s="1"/>
  <c r="G148" i="1"/>
  <c r="D143" i="7" s="1"/>
  <c r="E148" i="1"/>
  <c r="P147"/>
  <c r="O147"/>
  <c r="H142" i="7" s="1"/>
  <c r="M147" i="1"/>
  <c r="G142" i="7" s="1"/>
  <c r="K147" i="1"/>
  <c r="F142" i="7" s="1"/>
  <c r="I147" i="1"/>
  <c r="E142" i="7" s="1"/>
  <c r="G147" i="1"/>
  <c r="D142" i="7" s="1"/>
  <c r="E147" i="1"/>
  <c r="P146"/>
  <c r="O146"/>
  <c r="H141" i="7" s="1"/>
  <c r="M146" i="1"/>
  <c r="G141" i="7" s="1"/>
  <c r="K146" i="1"/>
  <c r="F141" i="7" s="1"/>
  <c r="I146" i="1"/>
  <c r="E141" i="7" s="1"/>
  <c r="G146" i="1"/>
  <c r="D141" i="7" s="1"/>
  <c r="E146" i="1"/>
  <c r="P145"/>
  <c r="O145"/>
  <c r="H140" i="7" s="1"/>
  <c r="M145" i="1"/>
  <c r="G140" i="7" s="1"/>
  <c r="K145" i="1"/>
  <c r="F140" i="7" s="1"/>
  <c r="I145" i="1"/>
  <c r="E140" i="7" s="1"/>
  <c r="G145" i="1"/>
  <c r="D140" i="7" s="1"/>
  <c r="E145" i="1"/>
  <c r="P144"/>
  <c r="O144"/>
  <c r="H139" i="7" s="1"/>
  <c r="M144" i="1"/>
  <c r="G139" i="7" s="1"/>
  <c r="K144" i="1"/>
  <c r="F139" i="7" s="1"/>
  <c r="I144" i="1"/>
  <c r="E139" i="7" s="1"/>
  <c r="G144" i="1"/>
  <c r="D139" i="7" s="1"/>
  <c r="E144" i="1"/>
  <c r="P143"/>
  <c r="O143"/>
  <c r="H138" i="7" s="1"/>
  <c r="M143" i="1"/>
  <c r="G138" i="7" s="1"/>
  <c r="K143" i="1"/>
  <c r="F138" i="7" s="1"/>
  <c r="I143" i="1"/>
  <c r="E138" i="7" s="1"/>
  <c r="G143" i="1"/>
  <c r="D138" i="7" s="1"/>
  <c r="E143" i="1"/>
  <c r="P142"/>
  <c r="O142"/>
  <c r="H137" i="7" s="1"/>
  <c r="M142" i="1"/>
  <c r="G137" i="7" s="1"/>
  <c r="K142" i="1"/>
  <c r="F137" i="7" s="1"/>
  <c r="I142" i="1"/>
  <c r="E137" i="7" s="1"/>
  <c r="G142" i="1"/>
  <c r="D137" i="7" s="1"/>
  <c r="E142" i="1"/>
  <c r="P141"/>
  <c r="O141"/>
  <c r="H136" i="7" s="1"/>
  <c r="M141" i="1"/>
  <c r="G136" i="7" s="1"/>
  <c r="K141" i="1"/>
  <c r="F136" i="7" s="1"/>
  <c r="I141" i="1"/>
  <c r="E136" i="7" s="1"/>
  <c r="G141" i="1"/>
  <c r="D136" i="7" s="1"/>
  <c r="E141" i="1"/>
  <c r="P140"/>
  <c r="O140"/>
  <c r="H135" i="7" s="1"/>
  <c r="M140" i="1"/>
  <c r="G135" i="7" s="1"/>
  <c r="K140" i="1"/>
  <c r="F135" i="7" s="1"/>
  <c r="I140" i="1"/>
  <c r="E135" i="7" s="1"/>
  <c r="G140" i="1"/>
  <c r="D135" i="7" s="1"/>
  <c r="E140" i="1"/>
  <c r="P139"/>
  <c r="O139"/>
  <c r="H134" i="7" s="1"/>
  <c r="M139" i="1"/>
  <c r="G134" i="7" s="1"/>
  <c r="K139" i="1"/>
  <c r="F134" i="7" s="1"/>
  <c r="I139" i="1"/>
  <c r="E134" i="7" s="1"/>
  <c r="G139" i="1"/>
  <c r="D134" i="7" s="1"/>
  <c r="E139" i="1"/>
  <c r="P138"/>
  <c r="O138"/>
  <c r="M138"/>
  <c r="K138"/>
  <c r="I138"/>
  <c r="G138"/>
  <c r="E138"/>
  <c r="P136"/>
  <c r="O136"/>
  <c r="H131" i="7" s="1"/>
  <c r="M136" i="1"/>
  <c r="G131" i="7" s="1"/>
  <c r="K136" i="1"/>
  <c r="F131" i="7" s="1"/>
  <c r="I136" i="1"/>
  <c r="E131" i="7" s="1"/>
  <c r="G136" i="1"/>
  <c r="D131" i="7" s="1"/>
  <c r="E136" i="1"/>
  <c r="P135"/>
  <c r="O135"/>
  <c r="H130" i="7" s="1"/>
  <c r="M135" i="1"/>
  <c r="G130" i="7" s="1"/>
  <c r="K135" i="1"/>
  <c r="F130" i="7" s="1"/>
  <c r="I135" i="1"/>
  <c r="E130" i="7" s="1"/>
  <c r="G135" i="1"/>
  <c r="D130" i="7" s="1"/>
  <c r="E135" i="1"/>
  <c r="P134"/>
  <c r="O134"/>
  <c r="H129" i="7" s="1"/>
  <c r="M134" i="1"/>
  <c r="G129" i="7" s="1"/>
  <c r="K134" i="1"/>
  <c r="F129" i="7" s="1"/>
  <c r="I134" i="1"/>
  <c r="E129" i="7" s="1"/>
  <c r="G134" i="1"/>
  <c r="D129" i="7" s="1"/>
  <c r="E134" i="1"/>
  <c r="P133"/>
  <c r="O133"/>
  <c r="H128" i="7" s="1"/>
  <c r="M133" i="1"/>
  <c r="G128" i="7" s="1"/>
  <c r="K133" i="1"/>
  <c r="F128" i="7" s="1"/>
  <c r="I133" i="1"/>
  <c r="E128" i="7" s="1"/>
  <c r="G133" i="1"/>
  <c r="D128" i="7" s="1"/>
  <c r="E133" i="1"/>
  <c r="P132"/>
  <c r="O132"/>
  <c r="H127" i="7" s="1"/>
  <c r="M132" i="1"/>
  <c r="G127" i="7" s="1"/>
  <c r="K132" i="1"/>
  <c r="F127" i="7" s="1"/>
  <c r="I132" i="1"/>
  <c r="E127" i="7" s="1"/>
  <c r="G132" i="1"/>
  <c r="D127" i="7" s="1"/>
  <c r="E132" i="1"/>
  <c r="P131"/>
  <c r="O131"/>
  <c r="H126" i="7" s="1"/>
  <c r="M131" i="1"/>
  <c r="G126" i="7" s="1"/>
  <c r="K131" i="1"/>
  <c r="F126" i="7" s="1"/>
  <c r="I131" i="1"/>
  <c r="E126" i="7" s="1"/>
  <c r="G131" i="1"/>
  <c r="D126" i="7" s="1"/>
  <c r="E131" i="1"/>
  <c r="P130"/>
  <c r="O130"/>
  <c r="H125" i="7" s="1"/>
  <c r="M130" i="1"/>
  <c r="G125" i="7" s="1"/>
  <c r="K130" i="1"/>
  <c r="F125" i="7" s="1"/>
  <c r="I130" i="1"/>
  <c r="E125" i="7" s="1"/>
  <c r="G130" i="1"/>
  <c r="D125" i="7" s="1"/>
  <c r="E130" i="1"/>
  <c r="P129"/>
  <c r="O129"/>
  <c r="H124" i="7" s="1"/>
  <c r="M129" i="1"/>
  <c r="G124" i="7" s="1"/>
  <c r="K129" i="1"/>
  <c r="F124" i="7" s="1"/>
  <c r="I129" i="1"/>
  <c r="E124" i="7" s="1"/>
  <c r="G129" i="1"/>
  <c r="D124" i="7" s="1"/>
  <c r="E129" i="1"/>
  <c r="P128"/>
  <c r="O128"/>
  <c r="H123" i="7" s="1"/>
  <c r="M128" i="1"/>
  <c r="G123" i="7" s="1"/>
  <c r="K128" i="1"/>
  <c r="F123" i="7" s="1"/>
  <c r="I128" i="1"/>
  <c r="E123" i="7" s="1"/>
  <c r="G128" i="1"/>
  <c r="D123" i="7" s="1"/>
  <c r="E128" i="1"/>
  <c r="P127"/>
  <c r="O127"/>
  <c r="H122" i="7" s="1"/>
  <c r="M127" i="1"/>
  <c r="G122" i="7" s="1"/>
  <c r="K127" i="1"/>
  <c r="F122" i="7" s="1"/>
  <c r="I127" i="1"/>
  <c r="E122" i="7" s="1"/>
  <c r="G127" i="1"/>
  <c r="D122" i="7" s="1"/>
  <c r="E127" i="1"/>
  <c r="P126"/>
  <c r="O126"/>
  <c r="H121" i="7" s="1"/>
  <c r="M126" i="1"/>
  <c r="G121" i="7" s="1"/>
  <c r="K126" i="1"/>
  <c r="F121" i="7" s="1"/>
  <c r="I126" i="1"/>
  <c r="E121" i="7" s="1"/>
  <c r="G126" i="1"/>
  <c r="D121" i="7" s="1"/>
  <c r="E126" i="1"/>
  <c r="P125"/>
  <c r="O125"/>
  <c r="H120" i="7" s="1"/>
  <c r="M125" i="1"/>
  <c r="G120" i="7" s="1"/>
  <c r="K125" i="1"/>
  <c r="F120" i="7" s="1"/>
  <c r="I125" i="1"/>
  <c r="E120" i="7" s="1"/>
  <c r="G125" i="1"/>
  <c r="D120" i="7" s="1"/>
  <c r="E125" i="1"/>
  <c r="P124"/>
  <c r="O124"/>
  <c r="H119" i="7" s="1"/>
  <c r="M124" i="1"/>
  <c r="G119" i="7" s="1"/>
  <c r="K124" i="1"/>
  <c r="F119" i="7" s="1"/>
  <c r="I124" i="1"/>
  <c r="E119" i="7" s="1"/>
  <c r="G124" i="1"/>
  <c r="D119" i="7" s="1"/>
  <c r="E124" i="1"/>
  <c r="P123"/>
  <c r="O123"/>
  <c r="H118" i="7" s="1"/>
  <c r="M123" i="1"/>
  <c r="G118" i="7" s="1"/>
  <c r="K123" i="1"/>
  <c r="F118" i="7" s="1"/>
  <c r="I123" i="1"/>
  <c r="E118" i="7" s="1"/>
  <c r="G123" i="1"/>
  <c r="D118" i="7" s="1"/>
  <c r="E123" i="1"/>
  <c r="P122"/>
  <c r="O122"/>
  <c r="M122"/>
  <c r="K122"/>
  <c r="I122"/>
  <c r="G122"/>
  <c r="E122"/>
  <c r="P120"/>
  <c r="O120"/>
  <c r="H115" i="7" s="1"/>
  <c r="M120" i="1"/>
  <c r="G115" i="7" s="1"/>
  <c r="K120" i="1"/>
  <c r="F115" i="7" s="1"/>
  <c r="I120" i="1"/>
  <c r="E115" i="7" s="1"/>
  <c r="G120" i="1"/>
  <c r="D115" i="7" s="1"/>
  <c r="E120" i="1"/>
  <c r="P119"/>
  <c r="O119"/>
  <c r="H114" i="7" s="1"/>
  <c r="M119" i="1"/>
  <c r="G114" i="7" s="1"/>
  <c r="K119" i="1"/>
  <c r="F114" i="7" s="1"/>
  <c r="I119" i="1"/>
  <c r="E114" i="7" s="1"/>
  <c r="G119" i="1"/>
  <c r="D114" i="7" s="1"/>
  <c r="E119" i="1"/>
  <c r="P118"/>
  <c r="O118"/>
  <c r="H113" i="7" s="1"/>
  <c r="M118" i="1"/>
  <c r="G113" i="7" s="1"/>
  <c r="K118" i="1"/>
  <c r="F113" i="7" s="1"/>
  <c r="I118" i="1"/>
  <c r="E113" i="7" s="1"/>
  <c r="G118" i="1"/>
  <c r="D113" i="7" s="1"/>
  <c r="E118" i="1"/>
  <c r="P117"/>
  <c r="O117"/>
  <c r="H112" i="7" s="1"/>
  <c r="M117" i="1"/>
  <c r="G112" i="7" s="1"/>
  <c r="K117" i="1"/>
  <c r="F112" i="7" s="1"/>
  <c r="I117" i="1"/>
  <c r="E112" i="7" s="1"/>
  <c r="G117" i="1"/>
  <c r="D112" i="7" s="1"/>
  <c r="E117" i="1"/>
  <c r="P116"/>
  <c r="O116"/>
  <c r="H111" i="7" s="1"/>
  <c r="M116" i="1"/>
  <c r="G111" i="7" s="1"/>
  <c r="K116" i="1"/>
  <c r="F111" i="7" s="1"/>
  <c r="I116" i="1"/>
  <c r="E111" i="7" s="1"/>
  <c r="G116" i="1"/>
  <c r="D111" i="7" s="1"/>
  <c r="E116" i="1"/>
  <c r="P115"/>
  <c r="O115"/>
  <c r="H110" i="7" s="1"/>
  <c r="M115" i="1"/>
  <c r="G110" i="7" s="1"/>
  <c r="K115" i="1"/>
  <c r="F110" i="7" s="1"/>
  <c r="I115" i="1"/>
  <c r="E110" i="7" s="1"/>
  <c r="G115" i="1"/>
  <c r="D110" i="7" s="1"/>
  <c r="E115" i="1"/>
  <c r="P114"/>
  <c r="O114"/>
  <c r="H109" i="7" s="1"/>
  <c r="M114" i="1"/>
  <c r="G109" i="7" s="1"/>
  <c r="K114" i="1"/>
  <c r="F109" i="7" s="1"/>
  <c r="I114" i="1"/>
  <c r="E109" i="7" s="1"/>
  <c r="G114" i="1"/>
  <c r="D109" i="7" s="1"/>
  <c r="E114" i="1"/>
  <c r="P113"/>
  <c r="O113"/>
  <c r="H108" i="7" s="1"/>
  <c r="M113" i="1"/>
  <c r="G108" i="7" s="1"/>
  <c r="K113" i="1"/>
  <c r="F108" i="7" s="1"/>
  <c r="I113" i="1"/>
  <c r="E108" i="7" s="1"/>
  <c r="G113" i="1"/>
  <c r="D108" i="7" s="1"/>
  <c r="E113" i="1"/>
  <c r="P112"/>
  <c r="O112"/>
  <c r="H107" i="7" s="1"/>
  <c r="M112" i="1"/>
  <c r="G107" i="7" s="1"/>
  <c r="K112" i="1"/>
  <c r="F107" i="7" s="1"/>
  <c r="I112" i="1"/>
  <c r="E107" i="7" s="1"/>
  <c r="G112" i="1"/>
  <c r="D107" i="7" s="1"/>
  <c r="E112" i="1"/>
  <c r="P111"/>
  <c r="O111"/>
  <c r="H106" i="7" s="1"/>
  <c r="M111" i="1"/>
  <c r="G106" i="7" s="1"/>
  <c r="K111" i="1"/>
  <c r="F106" i="7" s="1"/>
  <c r="I111" i="1"/>
  <c r="E106" i="7" s="1"/>
  <c r="G111" i="1"/>
  <c r="D106" i="7" s="1"/>
  <c r="E111" i="1"/>
  <c r="P110"/>
  <c r="O110"/>
  <c r="H105" i="7" s="1"/>
  <c r="M110" i="1"/>
  <c r="G105" i="7" s="1"/>
  <c r="K110" i="1"/>
  <c r="F105" i="7" s="1"/>
  <c r="I110" i="1"/>
  <c r="E105" i="7" s="1"/>
  <c r="G110" i="1"/>
  <c r="D105" i="7" s="1"/>
  <c r="E110" i="1"/>
  <c r="P109"/>
  <c r="O109"/>
  <c r="H104" i="7" s="1"/>
  <c r="M109" i="1"/>
  <c r="G104" i="7" s="1"/>
  <c r="K109" i="1"/>
  <c r="F104" i="7" s="1"/>
  <c r="I109" i="1"/>
  <c r="E104" i="7" s="1"/>
  <c r="G109" i="1"/>
  <c r="D104" i="7" s="1"/>
  <c r="E109" i="1"/>
  <c r="P108"/>
  <c r="O108"/>
  <c r="H103" i="7" s="1"/>
  <c r="M108" i="1"/>
  <c r="G103" i="7" s="1"/>
  <c r="K108" i="1"/>
  <c r="F103" i="7" s="1"/>
  <c r="I108" i="1"/>
  <c r="E103" i="7" s="1"/>
  <c r="G108" i="1"/>
  <c r="D103" i="7" s="1"/>
  <c r="E108" i="1"/>
  <c r="P107"/>
  <c r="O107"/>
  <c r="H102" i="7" s="1"/>
  <c r="M107" i="1"/>
  <c r="G102" i="7" s="1"/>
  <c r="K107" i="1"/>
  <c r="F102" i="7" s="1"/>
  <c r="I107" i="1"/>
  <c r="E102" i="7" s="1"/>
  <c r="G107" i="1"/>
  <c r="D102" i="7" s="1"/>
  <c r="E107" i="1"/>
  <c r="P106"/>
  <c r="O106"/>
  <c r="M106"/>
  <c r="K106"/>
  <c r="I106"/>
  <c r="G106"/>
  <c r="E106"/>
  <c r="P104"/>
  <c r="O104"/>
  <c r="H99" i="7" s="1"/>
  <c r="M104" i="1"/>
  <c r="G99" i="7" s="1"/>
  <c r="K104" i="1"/>
  <c r="F99" i="7" s="1"/>
  <c r="I104" i="1"/>
  <c r="E99" i="7" s="1"/>
  <c r="G104" i="1"/>
  <c r="D99" i="7" s="1"/>
  <c r="E104" i="1"/>
  <c r="P103"/>
  <c r="O103"/>
  <c r="H98" i="7" s="1"/>
  <c r="M103" i="1"/>
  <c r="G98" i="7" s="1"/>
  <c r="K103" i="1"/>
  <c r="F98" i="7" s="1"/>
  <c r="I103" i="1"/>
  <c r="E98" i="7" s="1"/>
  <c r="G103" i="1"/>
  <c r="D98" i="7" s="1"/>
  <c r="E103" i="1"/>
  <c r="P102"/>
  <c r="O102"/>
  <c r="H97" i="7" s="1"/>
  <c r="M102" i="1"/>
  <c r="G97" i="7" s="1"/>
  <c r="K102" i="1"/>
  <c r="F97" i="7" s="1"/>
  <c r="I102" i="1"/>
  <c r="E97" i="7" s="1"/>
  <c r="G102" i="1"/>
  <c r="D97" i="7" s="1"/>
  <c r="E102" i="1"/>
  <c r="P101"/>
  <c r="O101"/>
  <c r="H96" i="7" s="1"/>
  <c r="M101" i="1"/>
  <c r="G96" i="7" s="1"/>
  <c r="K101" i="1"/>
  <c r="F96" i="7" s="1"/>
  <c r="I101" i="1"/>
  <c r="E96" i="7" s="1"/>
  <c r="G101" i="1"/>
  <c r="D96" i="7" s="1"/>
  <c r="E101" i="1"/>
  <c r="P100"/>
  <c r="O100"/>
  <c r="H95" i="7" s="1"/>
  <c r="M100" i="1"/>
  <c r="G95" i="7" s="1"/>
  <c r="K100" i="1"/>
  <c r="F95" i="7" s="1"/>
  <c r="I100" i="1"/>
  <c r="E95" i="7" s="1"/>
  <c r="G100" i="1"/>
  <c r="D95" i="7" s="1"/>
  <c r="E100" i="1"/>
  <c r="P99"/>
  <c r="O99"/>
  <c r="H94" i="7" s="1"/>
  <c r="M99" i="1"/>
  <c r="G94" i="7" s="1"/>
  <c r="K99" i="1"/>
  <c r="F94" i="7" s="1"/>
  <c r="I99" i="1"/>
  <c r="E94" i="7" s="1"/>
  <c r="G99" i="1"/>
  <c r="D94" i="7" s="1"/>
  <c r="E99" i="1"/>
  <c r="P98"/>
  <c r="O98"/>
  <c r="H93" i="7" s="1"/>
  <c r="M98" i="1"/>
  <c r="G93" i="7" s="1"/>
  <c r="K98" i="1"/>
  <c r="F93" i="7" s="1"/>
  <c r="I98" i="1"/>
  <c r="E93" i="7" s="1"/>
  <c r="G98" i="1"/>
  <c r="D93" i="7" s="1"/>
  <c r="E98" i="1"/>
  <c r="P97"/>
  <c r="O97"/>
  <c r="H92" i="7" s="1"/>
  <c r="M97" i="1"/>
  <c r="G92" i="7" s="1"/>
  <c r="K97" i="1"/>
  <c r="F92" i="7" s="1"/>
  <c r="I97" i="1"/>
  <c r="E92" i="7" s="1"/>
  <c r="G97" i="1"/>
  <c r="D92" i="7" s="1"/>
  <c r="E97" i="1"/>
  <c r="P96"/>
  <c r="O96"/>
  <c r="H91" i="7" s="1"/>
  <c r="M96" i="1"/>
  <c r="G91" i="7" s="1"/>
  <c r="K96" i="1"/>
  <c r="F91" i="7" s="1"/>
  <c r="I96" i="1"/>
  <c r="E91" i="7" s="1"/>
  <c r="G96" i="1"/>
  <c r="D91" i="7" s="1"/>
  <c r="E96" i="1"/>
  <c r="P95"/>
  <c r="O95"/>
  <c r="H90" i="7" s="1"/>
  <c r="M95" i="1"/>
  <c r="G90" i="7" s="1"/>
  <c r="K95" i="1"/>
  <c r="F90" i="7" s="1"/>
  <c r="I95" i="1"/>
  <c r="E90" i="7" s="1"/>
  <c r="G95" i="1"/>
  <c r="D90" i="7" s="1"/>
  <c r="E95" i="1"/>
  <c r="P94"/>
  <c r="O94"/>
  <c r="H89" i="7" s="1"/>
  <c r="M94" i="1"/>
  <c r="G89" i="7" s="1"/>
  <c r="K94" i="1"/>
  <c r="F89" i="7" s="1"/>
  <c r="I94" i="1"/>
  <c r="E89" i="7" s="1"/>
  <c r="G94" i="1"/>
  <c r="D89" i="7" s="1"/>
  <c r="E94" i="1"/>
  <c r="P93"/>
  <c r="O93"/>
  <c r="H88" i="7" s="1"/>
  <c r="M93" i="1"/>
  <c r="G88" i="7" s="1"/>
  <c r="K93" i="1"/>
  <c r="F88" i="7" s="1"/>
  <c r="I93" i="1"/>
  <c r="E88" i="7" s="1"/>
  <c r="G93" i="1"/>
  <c r="D88" i="7" s="1"/>
  <c r="E93" i="1"/>
  <c r="P92"/>
  <c r="O92"/>
  <c r="H87" i="7" s="1"/>
  <c r="M92" i="1"/>
  <c r="G87" i="7" s="1"/>
  <c r="K92" i="1"/>
  <c r="F87" i="7" s="1"/>
  <c r="I92" i="1"/>
  <c r="E87" i="7" s="1"/>
  <c r="G92" i="1"/>
  <c r="D87" i="7" s="1"/>
  <c r="E92" i="1"/>
  <c r="P91"/>
  <c r="O91"/>
  <c r="H86" i="7" s="1"/>
  <c r="M91" i="1"/>
  <c r="G86" i="7" s="1"/>
  <c r="K91" i="1"/>
  <c r="F86" i="7" s="1"/>
  <c r="I91" i="1"/>
  <c r="E86" i="7" s="1"/>
  <c r="G91" i="1"/>
  <c r="D86" i="7" s="1"/>
  <c r="E91" i="1"/>
  <c r="P90"/>
  <c r="O90"/>
  <c r="M90"/>
  <c r="K90"/>
  <c r="I90"/>
  <c r="G90"/>
  <c r="E90"/>
  <c r="P88"/>
  <c r="O88"/>
  <c r="H83" i="7" s="1"/>
  <c r="M88" i="1"/>
  <c r="G83" i="7" s="1"/>
  <c r="K88" i="1"/>
  <c r="F83" i="7" s="1"/>
  <c r="I88" i="1"/>
  <c r="E83" i="7" s="1"/>
  <c r="G88" i="1"/>
  <c r="D83" i="7" s="1"/>
  <c r="E88" i="1"/>
  <c r="P87"/>
  <c r="O87"/>
  <c r="H82" i="7" s="1"/>
  <c r="M87" i="1"/>
  <c r="G82" i="7" s="1"/>
  <c r="K87" i="1"/>
  <c r="F82" i="7" s="1"/>
  <c r="I87" i="1"/>
  <c r="E82" i="7" s="1"/>
  <c r="G87" i="1"/>
  <c r="D82" i="7" s="1"/>
  <c r="E87" i="1"/>
  <c r="P86"/>
  <c r="O86"/>
  <c r="H81" i="7" s="1"/>
  <c r="M86" i="1"/>
  <c r="G81" i="7" s="1"/>
  <c r="K86" i="1"/>
  <c r="F81" i="7" s="1"/>
  <c r="I86" i="1"/>
  <c r="E81" i="7" s="1"/>
  <c r="G86" i="1"/>
  <c r="D81" i="7" s="1"/>
  <c r="E86" i="1"/>
  <c r="P85"/>
  <c r="O85"/>
  <c r="H80" i="7" s="1"/>
  <c r="M85" i="1"/>
  <c r="G80" i="7" s="1"/>
  <c r="K85" i="1"/>
  <c r="F80" i="7" s="1"/>
  <c r="I85" i="1"/>
  <c r="E80" i="7" s="1"/>
  <c r="G85" i="1"/>
  <c r="D80" i="7" s="1"/>
  <c r="E85" i="1"/>
  <c r="P84"/>
  <c r="O84"/>
  <c r="H79" i="7" s="1"/>
  <c r="M84" i="1"/>
  <c r="G79" i="7" s="1"/>
  <c r="K84" i="1"/>
  <c r="F79" i="7" s="1"/>
  <c r="I84" i="1"/>
  <c r="E79" i="7" s="1"/>
  <c r="G84" i="1"/>
  <c r="D79" i="7" s="1"/>
  <c r="E84" i="1"/>
  <c r="P83"/>
  <c r="O83"/>
  <c r="H78" i="7" s="1"/>
  <c r="M83" i="1"/>
  <c r="G78" i="7" s="1"/>
  <c r="K83" i="1"/>
  <c r="F78" i="7" s="1"/>
  <c r="I83" i="1"/>
  <c r="E78" i="7" s="1"/>
  <c r="G83" i="1"/>
  <c r="D78" i="7" s="1"/>
  <c r="E83" i="1"/>
  <c r="P82"/>
  <c r="O82"/>
  <c r="H77" i="7" s="1"/>
  <c r="M82" i="1"/>
  <c r="G77" i="7" s="1"/>
  <c r="K82" i="1"/>
  <c r="F77" i="7" s="1"/>
  <c r="I82" i="1"/>
  <c r="E77" i="7" s="1"/>
  <c r="G82" i="1"/>
  <c r="D77" i="7" s="1"/>
  <c r="E82" i="1"/>
  <c r="P81"/>
  <c r="O81"/>
  <c r="H76" i="7" s="1"/>
  <c r="M81" i="1"/>
  <c r="G76" i="7" s="1"/>
  <c r="K81" i="1"/>
  <c r="F76" i="7" s="1"/>
  <c r="I81" i="1"/>
  <c r="E76" i="7" s="1"/>
  <c r="G81" i="1"/>
  <c r="D76" i="7" s="1"/>
  <c r="E81" i="1"/>
  <c r="P80"/>
  <c r="O80"/>
  <c r="H75" i="7" s="1"/>
  <c r="M80" i="1"/>
  <c r="G75" i="7" s="1"/>
  <c r="K80" i="1"/>
  <c r="F75" i="7" s="1"/>
  <c r="I80" i="1"/>
  <c r="E75" i="7" s="1"/>
  <c r="G80" i="1"/>
  <c r="D75" i="7" s="1"/>
  <c r="E80" i="1"/>
  <c r="P79"/>
  <c r="O79"/>
  <c r="H74" i="7" s="1"/>
  <c r="M79" i="1"/>
  <c r="G74" i="7" s="1"/>
  <c r="K79" i="1"/>
  <c r="F74" i="7" s="1"/>
  <c r="I79" i="1"/>
  <c r="E74" i="7" s="1"/>
  <c r="G79" i="1"/>
  <c r="D74" i="7" s="1"/>
  <c r="E79" i="1"/>
  <c r="P78"/>
  <c r="O78"/>
  <c r="H73" i="7" s="1"/>
  <c r="M78" i="1"/>
  <c r="G73" i="7" s="1"/>
  <c r="K78" i="1"/>
  <c r="F73" i="7" s="1"/>
  <c r="I78" i="1"/>
  <c r="E73" i="7" s="1"/>
  <c r="G78" i="1"/>
  <c r="D73" i="7" s="1"/>
  <c r="E78" i="1"/>
  <c r="P77"/>
  <c r="O77"/>
  <c r="H72" i="7" s="1"/>
  <c r="M77" i="1"/>
  <c r="G72" i="7" s="1"/>
  <c r="K77" i="1"/>
  <c r="F72" i="7" s="1"/>
  <c r="I77" i="1"/>
  <c r="E72" i="7" s="1"/>
  <c r="G77" i="1"/>
  <c r="D72" i="7" s="1"/>
  <c r="E77" i="1"/>
  <c r="P76"/>
  <c r="O76"/>
  <c r="H71" i="7" s="1"/>
  <c r="M76" i="1"/>
  <c r="G71" i="7" s="1"/>
  <c r="K76" i="1"/>
  <c r="F71" i="7" s="1"/>
  <c r="I76" i="1"/>
  <c r="E71" i="7" s="1"/>
  <c r="G76" i="1"/>
  <c r="D71" i="7" s="1"/>
  <c r="E76" i="1"/>
  <c r="P75"/>
  <c r="O75"/>
  <c r="H70" i="7" s="1"/>
  <c r="M75" i="1"/>
  <c r="G70" i="7" s="1"/>
  <c r="K75" i="1"/>
  <c r="F70" i="7" s="1"/>
  <c r="I75" i="1"/>
  <c r="E70" i="7" s="1"/>
  <c r="G75" i="1"/>
  <c r="D70" i="7" s="1"/>
  <c r="E75" i="1"/>
  <c r="P74"/>
  <c r="O74"/>
  <c r="M74"/>
  <c r="K74"/>
  <c r="I74"/>
  <c r="G74"/>
  <c r="E74"/>
  <c r="P72"/>
  <c r="O72"/>
  <c r="H67" i="7" s="1"/>
  <c r="M72" i="1"/>
  <c r="G67" i="7" s="1"/>
  <c r="K72" i="1"/>
  <c r="F67" i="7" s="1"/>
  <c r="I72" i="1"/>
  <c r="E67" i="7" s="1"/>
  <c r="G72" i="1"/>
  <c r="D67" i="7" s="1"/>
  <c r="E72" i="1"/>
  <c r="P71"/>
  <c r="O71"/>
  <c r="H66" i="7" s="1"/>
  <c r="M71" i="1"/>
  <c r="G66" i="7" s="1"/>
  <c r="K71" i="1"/>
  <c r="F66" i="7" s="1"/>
  <c r="I71" i="1"/>
  <c r="E66" i="7" s="1"/>
  <c r="G71" i="1"/>
  <c r="D66" i="7" s="1"/>
  <c r="E71" i="1"/>
  <c r="P70"/>
  <c r="O70"/>
  <c r="H65" i="7" s="1"/>
  <c r="M70" i="1"/>
  <c r="G65" i="7" s="1"/>
  <c r="K70" i="1"/>
  <c r="F65" i="7" s="1"/>
  <c r="I70" i="1"/>
  <c r="E65" i="7" s="1"/>
  <c r="G70" i="1"/>
  <c r="D65" i="7" s="1"/>
  <c r="E70" i="1"/>
  <c r="P69"/>
  <c r="O69"/>
  <c r="H64" i="7" s="1"/>
  <c r="M69" i="1"/>
  <c r="G64" i="7" s="1"/>
  <c r="K69" i="1"/>
  <c r="F64" i="7" s="1"/>
  <c r="I69" i="1"/>
  <c r="E64" i="7" s="1"/>
  <c r="G69" i="1"/>
  <c r="D64" i="7" s="1"/>
  <c r="E69" i="1"/>
  <c r="P68"/>
  <c r="O68"/>
  <c r="H63" i="7" s="1"/>
  <c r="M68" i="1"/>
  <c r="G63" i="7" s="1"/>
  <c r="K68" i="1"/>
  <c r="F63" i="7" s="1"/>
  <c r="I68" i="1"/>
  <c r="E63" i="7" s="1"/>
  <c r="G68" i="1"/>
  <c r="D63" i="7" s="1"/>
  <c r="E68" i="1"/>
  <c r="P67"/>
  <c r="O67"/>
  <c r="H62" i="7" s="1"/>
  <c r="M67" i="1"/>
  <c r="G62" i="7" s="1"/>
  <c r="K67" i="1"/>
  <c r="F62" i="7" s="1"/>
  <c r="I67" i="1"/>
  <c r="E62" i="7" s="1"/>
  <c r="G67" i="1"/>
  <c r="D62" i="7" s="1"/>
  <c r="E67" i="1"/>
  <c r="P66"/>
  <c r="O66"/>
  <c r="H61" i="7" s="1"/>
  <c r="M66" i="1"/>
  <c r="G61" i="7" s="1"/>
  <c r="K66" i="1"/>
  <c r="F61" i="7" s="1"/>
  <c r="I66" i="1"/>
  <c r="E61" i="7" s="1"/>
  <c r="G66" i="1"/>
  <c r="D61" i="7" s="1"/>
  <c r="E66" i="1"/>
  <c r="P65"/>
  <c r="O65"/>
  <c r="H60" i="7" s="1"/>
  <c r="M65" i="1"/>
  <c r="G60" i="7" s="1"/>
  <c r="K65" i="1"/>
  <c r="F60" i="7" s="1"/>
  <c r="I65" i="1"/>
  <c r="E60" i="7" s="1"/>
  <c r="G65" i="1"/>
  <c r="D60" i="7" s="1"/>
  <c r="E65" i="1"/>
  <c r="P64"/>
  <c r="O64"/>
  <c r="H59" i="7" s="1"/>
  <c r="M64" i="1"/>
  <c r="G59" i="7" s="1"/>
  <c r="K64" i="1"/>
  <c r="F59" i="7" s="1"/>
  <c r="I64" i="1"/>
  <c r="E59" i="7" s="1"/>
  <c r="G64" i="1"/>
  <c r="D59" i="7" s="1"/>
  <c r="E64" i="1"/>
  <c r="P63"/>
  <c r="O63"/>
  <c r="H58" i="7" s="1"/>
  <c r="M63" i="1"/>
  <c r="G58" i="7" s="1"/>
  <c r="K63" i="1"/>
  <c r="F58" i="7" s="1"/>
  <c r="I63" i="1"/>
  <c r="E58" i="7" s="1"/>
  <c r="G63" i="1"/>
  <c r="D58" i="7" s="1"/>
  <c r="E63" i="1"/>
  <c r="P62"/>
  <c r="O62"/>
  <c r="H57" i="7" s="1"/>
  <c r="M62" i="1"/>
  <c r="G57" i="7" s="1"/>
  <c r="K62" i="1"/>
  <c r="F57" i="7" s="1"/>
  <c r="I62" i="1"/>
  <c r="E57" i="7" s="1"/>
  <c r="G62" i="1"/>
  <c r="D57" i="7" s="1"/>
  <c r="E62" i="1"/>
  <c r="P61"/>
  <c r="O61"/>
  <c r="H56" i="7" s="1"/>
  <c r="M61" i="1"/>
  <c r="G56" i="7" s="1"/>
  <c r="K61" i="1"/>
  <c r="F56" i="7" s="1"/>
  <c r="I61" i="1"/>
  <c r="E56" i="7" s="1"/>
  <c r="G61" i="1"/>
  <c r="D56" i="7" s="1"/>
  <c r="E61" i="1"/>
  <c r="P60"/>
  <c r="O60"/>
  <c r="H55" i="7" s="1"/>
  <c r="M60" i="1"/>
  <c r="G55" i="7" s="1"/>
  <c r="K60" i="1"/>
  <c r="F55" i="7" s="1"/>
  <c r="I60" i="1"/>
  <c r="E55" i="7" s="1"/>
  <c r="G60" i="1"/>
  <c r="D55" i="7" s="1"/>
  <c r="E60" i="1"/>
  <c r="P59"/>
  <c r="O59"/>
  <c r="H54" i="7" s="1"/>
  <c r="M59" i="1"/>
  <c r="G54" i="7" s="1"/>
  <c r="K59" i="1"/>
  <c r="F54" i="7" s="1"/>
  <c r="I59" i="1"/>
  <c r="E54" i="7" s="1"/>
  <c r="G59" i="1"/>
  <c r="D54" i="7" s="1"/>
  <c r="E59" i="1"/>
  <c r="P58"/>
  <c r="O58"/>
  <c r="M58"/>
  <c r="K58"/>
  <c r="I58"/>
  <c r="G58"/>
  <c r="E58"/>
  <c r="P56"/>
  <c r="O56"/>
  <c r="H51" i="7" s="1"/>
  <c r="M56" i="1"/>
  <c r="G51" i="7" s="1"/>
  <c r="K56" i="1"/>
  <c r="F51" i="7" s="1"/>
  <c r="I56" i="1"/>
  <c r="E51" i="7" s="1"/>
  <c r="G56" i="1"/>
  <c r="D51" i="7" s="1"/>
  <c r="E56" i="1"/>
  <c r="P55"/>
  <c r="O55"/>
  <c r="H50" i="7" s="1"/>
  <c r="M55" i="1"/>
  <c r="G50" i="7" s="1"/>
  <c r="K55" i="1"/>
  <c r="F50" i="7" s="1"/>
  <c r="I55" i="1"/>
  <c r="E50" i="7" s="1"/>
  <c r="G55" i="1"/>
  <c r="D50" i="7" s="1"/>
  <c r="E55" i="1"/>
  <c r="P54"/>
  <c r="O54"/>
  <c r="H49" i="7" s="1"/>
  <c r="M54" i="1"/>
  <c r="G49" i="7" s="1"/>
  <c r="K54" i="1"/>
  <c r="F49" i="7" s="1"/>
  <c r="I54" i="1"/>
  <c r="E49" i="7" s="1"/>
  <c r="G54" i="1"/>
  <c r="D49" i="7" s="1"/>
  <c r="E54" i="1"/>
  <c r="P53"/>
  <c r="O53"/>
  <c r="H48" i="7" s="1"/>
  <c r="M53" i="1"/>
  <c r="G48" i="7" s="1"/>
  <c r="K53" i="1"/>
  <c r="F48" i="7" s="1"/>
  <c r="I53" i="1"/>
  <c r="E48" i="7" s="1"/>
  <c r="G53" i="1"/>
  <c r="D48" i="7" s="1"/>
  <c r="E53" i="1"/>
  <c r="P52"/>
  <c r="O52"/>
  <c r="H47" i="7" s="1"/>
  <c r="M52" i="1"/>
  <c r="G47" i="7" s="1"/>
  <c r="K52" i="1"/>
  <c r="F47" i="7" s="1"/>
  <c r="I52" i="1"/>
  <c r="E47" i="7" s="1"/>
  <c r="G52" i="1"/>
  <c r="D47" i="7" s="1"/>
  <c r="E52" i="1"/>
  <c r="P51"/>
  <c r="O51"/>
  <c r="H46" i="7" s="1"/>
  <c r="M51" i="1"/>
  <c r="G46" i="7" s="1"/>
  <c r="K51" i="1"/>
  <c r="F46" i="7" s="1"/>
  <c r="I51" i="1"/>
  <c r="E46" i="7" s="1"/>
  <c r="G51" i="1"/>
  <c r="D46" i="7" s="1"/>
  <c r="E51" i="1"/>
  <c r="P50"/>
  <c r="O50"/>
  <c r="H45" i="7" s="1"/>
  <c r="M50" i="1"/>
  <c r="G45" i="7" s="1"/>
  <c r="K50" i="1"/>
  <c r="F45" i="7" s="1"/>
  <c r="I50" i="1"/>
  <c r="E45" i="7" s="1"/>
  <c r="G50" i="1"/>
  <c r="D45" i="7" s="1"/>
  <c r="E50" i="1"/>
  <c r="P49"/>
  <c r="O49"/>
  <c r="H44" i="7" s="1"/>
  <c r="M49" i="1"/>
  <c r="G44" i="7" s="1"/>
  <c r="K49" i="1"/>
  <c r="F44" i="7" s="1"/>
  <c r="I49" i="1"/>
  <c r="E44" i="7" s="1"/>
  <c r="G49" i="1"/>
  <c r="D44" i="7" s="1"/>
  <c r="E49" i="1"/>
  <c r="P48"/>
  <c r="O48"/>
  <c r="H43" i="7" s="1"/>
  <c r="M48" i="1"/>
  <c r="G43" i="7" s="1"/>
  <c r="K48" i="1"/>
  <c r="F43" i="7" s="1"/>
  <c r="I48" i="1"/>
  <c r="E43" i="7" s="1"/>
  <c r="G48" i="1"/>
  <c r="D43" i="7" s="1"/>
  <c r="E48" i="1"/>
  <c r="P47"/>
  <c r="O47"/>
  <c r="H42" i="7" s="1"/>
  <c r="M47" i="1"/>
  <c r="G42" i="7" s="1"/>
  <c r="K47" i="1"/>
  <c r="F42" i="7" s="1"/>
  <c r="I47" i="1"/>
  <c r="E42" i="7" s="1"/>
  <c r="G47" i="1"/>
  <c r="D42" i="7" s="1"/>
  <c r="E47" i="1"/>
  <c r="P46"/>
  <c r="O46"/>
  <c r="H41" i="7" s="1"/>
  <c r="M46" i="1"/>
  <c r="G41" i="7" s="1"/>
  <c r="K46" i="1"/>
  <c r="F41" i="7" s="1"/>
  <c r="I46" i="1"/>
  <c r="E41" i="7" s="1"/>
  <c r="G46" i="1"/>
  <c r="D41" i="7" s="1"/>
  <c r="E46" i="1"/>
  <c r="P45"/>
  <c r="O45"/>
  <c r="H40" i="7" s="1"/>
  <c r="M45" i="1"/>
  <c r="G40" i="7" s="1"/>
  <c r="K45" i="1"/>
  <c r="F40" i="7" s="1"/>
  <c r="I45" i="1"/>
  <c r="E40" i="7" s="1"/>
  <c r="G45" i="1"/>
  <c r="D40" i="7" s="1"/>
  <c r="E45" i="1"/>
  <c r="P44"/>
  <c r="O44"/>
  <c r="H39" i="7" s="1"/>
  <c r="M44" i="1"/>
  <c r="G39" i="7" s="1"/>
  <c r="K44" i="1"/>
  <c r="F39" i="7" s="1"/>
  <c r="I44" i="1"/>
  <c r="E39" i="7" s="1"/>
  <c r="G44" i="1"/>
  <c r="D39" i="7" s="1"/>
  <c r="E44" i="1"/>
  <c r="P43"/>
  <c r="O43"/>
  <c r="H38" i="7" s="1"/>
  <c r="M43" i="1"/>
  <c r="G38" i="7" s="1"/>
  <c r="K43" i="1"/>
  <c r="F38" i="7" s="1"/>
  <c r="I43" i="1"/>
  <c r="E38" i="7" s="1"/>
  <c r="G43" i="1"/>
  <c r="D38" i="7" s="1"/>
  <c r="E43" i="1"/>
  <c r="P42"/>
  <c r="O42"/>
  <c r="M42"/>
  <c r="K42"/>
  <c r="I42"/>
  <c r="G42"/>
  <c r="E42"/>
  <c r="P40"/>
  <c r="O40"/>
  <c r="H35" i="7" s="1"/>
  <c r="M40" i="1"/>
  <c r="G35" i="7" s="1"/>
  <c r="K40" i="1"/>
  <c r="F35" i="7" s="1"/>
  <c r="I40" i="1"/>
  <c r="E35" i="7" s="1"/>
  <c r="G40" i="1"/>
  <c r="D35" i="7" s="1"/>
  <c r="E40" i="1"/>
  <c r="P39"/>
  <c r="O39"/>
  <c r="H34" i="7" s="1"/>
  <c r="M39" i="1"/>
  <c r="G34" i="7" s="1"/>
  <c r="K39" i="1"/>
  <c r="F34" i="7" s="1"/>
  <c r="I39" i="1"/>
  <c r="E34" i="7" s="1"/>
  <c r="G39" i="1"/>
  <c r="D34" i="7" s="1"/>
  <c r="E39" i="1"/>
  <c r="P38"/>
  <c r="O38"/>
  <c r="H33" i="7" s="1"/>
  <c r="M38" i="1"/>
  <c r="G33" i="7" s="1"/>
  <c r="K38" i="1"/>
  <c r="F33" i="7" s="1"/>
  <c r="I38" i="1"/>
  <c r="E33" i="7" s="1"/>
  <c r="G38" i="1"/>
  <c r="D33" i="7" s="1"/>
  <c r="E38" i="1"/>
  <c r="P37"/>
  <c r="O37"/>
  <c r="H32" i="7" s="1"/>
  <c r="M37" i="1"/>
  <c r="G32" i="7" s="1"/>
  <c r="K37" i="1"/>
  <c r="F32" i="7" s="1"/>
  <c r="I37" i="1"/>
  <c r="E32" i="7" s="1"/>
  <c r="G37" i="1"/>
  <c r="D32" i="7" s="1"/>
  <c r="E37" i="1"/>
  <c r="P36"/>
  <c r="O36"/>
  <c r="H31" i="7" s="1"/>
  <c r="M36" i="1"/>
  <c r="G31" i="7" s="1"/>
  <c r="K36" i="1"/>
  <c r="F31" i="7" s="1"/>
  <c r="I36" i="1"/>
  <c r="E31" i="7" s="1"/>
  <c r="G36" i="1"/>
  <c r="D31" i="7" s="1"/>
  <c r="E36" i="1"/>
  <c r="P35"/>
  <c r="O35"/>
  <c r="H30" i="7" s="1"/>
  <c r="M35" i="1"/>
  <c r="G30" i="7" s="1"/>
  <c r="K35" i="1"/>
  <c r="F30" i="7" s="1"/>
  <c r="I35" i="1"/>
  <c r="E30" i="7" s="1"/>
  <c r="G35" i="1"/>
  <c r="D30" i="7" s="1"/>
  <c r="E35" i="1"/>
  <c r="P34"/>
  <c r="O34"/>
  <c r="H29" i="7" s="1"/>
  <c r="M34" i="1"/>
  <c r="G29" i="7" s="1"/>
  <c r="K34" i="1"/>
  <c r="F29" i="7" s="1"/>
  <c r="I34" i="1"/>
  <c r="E29" i="7" s="1"/>
  <c r="G34" i="1"/>
  <c r="D29" i="7" s="1"/>
  <c r="E34" i="1"/>
  <c r="P33"/>
  <c r="O33"/>
  <c r="H28" i="7" s="1"/>
  <c r="M33" i="1"/>
  <c r="G28" i="7" s="1"/>
  <c r="K33" i="1"/>
  <c r="F28" i="7" s="1"/>
  <c r="I33" i="1"/>
  <c r="E28" i="7" s="1"/>
  <c r="G33" i="1"/>
  <c r="D28" i="7" s="1"/>
  <c r="E33" i="1"/>
  <c r="P32"/>
  <c r="O32"/>
  <c r="H27" i="7" s="1"/>
  <c r="M32" i="1"/>
  <c r="G27" i="7" s="1"/>
  <c r="K32" i="1"/>
  <c r="F27" i="7" s="1"/>
  <c r="I32" i="1"/>
  <c r="E27" i="7" s="1"/>
  <c r="G32" i="1"/>
  <c r="D27" i="7" s="1"/>
  <c r="E32" i="1"/>
  <c r="P31"/>
  <c r="O31"/>
  <c r="H26" i="7" s="1"/>
  <c r="M31" i="1"/>
  <c r="G26" i="7" s="1"/>
  <c r="K31" i="1"/>
  <c r="F26" i="7" s="1"/>
  <c r="I31" i="1"/>
  <c r="E26" i="7" s="1"/>
  <c r="G31" i="1"/>
  <c r="D26" i="7" s="1"/>
  <c r="E31" i="1"/>
  <c r="P30"/>
  <c r="O30"/>
  <c r="H25" i="7" s="1"/>
  <c r="M30" i="1"/>
  <c r="G25" i="7" s="1"/>
  <c r="K30" i="1"/>
  <c r="F25" i="7" s="1"/>
  <c r="I30" i="1"/>
  <c r="E25" i="7" s="1"/>
  <c r="G30" i="1"/>
  <c r="D25" i="7" s="1"/>
  <c r="E30" i="1"/>
  <c r="P29"/>
  <c r="O29"/>
  <c r="H24" i="7" s="1"/>
  <c r="M29" i="1"/>
  <c r="G24" i="7" s="1"/>
  <c r="K29" i="1"/>
  <c r="F24" i="7" s="1"/>
  <c r="I29" i="1"/>
  <c r="E24" i="7" s="1"/>
  <c r="G29" i="1"/>
  <c r="D24" i="7" s="1"/>
  <c r="E29" i="1"/>
  <c r="P28"/>
  <c r="O28"/>
  <c r="H23" i="7" s="1"/>
  <c r="M28" i="1"/>
  <c r="G23" i="7" s="1"/>
  <c r="K28" i="1"/>
  <c r="F23" i="7" s="1"/>
  <c r="I28" i="1"/>
  <c r="E23" i="7" s="1"/>
  <c r="G28" i="1"/>
  <c r="D23" i="7" s="1"/>
  <c r="E28" i="1"/>
  <c r="P27"/>
  <c r="O27"/>
  <c r="H22" i="7" s="1"/>
  <c r="M27" i="1"/>
  <c r="G22" i="7" s="1"/>
  <c r="K27" i="1"/>
  <c r="F22" i="7" s="1"/>
  <c r="I27" i="1"/>
  <c r="E22" i="7" s="1"/>
  <c r="G27" i="1"/>
  <c r="D22" i="7" s="1"/>
  <c r="E27" i="1"/>
  <c r="P26"/>
  <c r="O26"/>
  <c r="M26"/>
  <c r="K26"/>
  <c r="I26"/>
  <c r="G26"/>
  <c r="E26"/>
  <c r="P24"/>
  <c r="O24"/>
  <c r="H19" i="7" s="1"/>
  <c r="M24" i="1"/>
  <c r="G19" i="7" s="1"/>
  <c r="K24" i="1"/>
  <c r="F19" i="7" s="1"/>
  <c r="I24" i="1"/>
  <c r="E19" i="7" s="1"/>
  <c r="G24" i="1"/>
  <c r="D19" i="7" s="1"/>
  <c r="E24" i="1"/>
  <c r="P23"/>
  <c r="O23"/>
  <c r="H18" i="7" s="1"/>
  <c r="M23" i="1"/>
  <c r="G18" i="7" s="1"/>
  <c r="K23" i="1"/>
  <c r="F18" i="7" s="1"/>
  <c r="I23" i="1"/>
  <c r="E18" i="7" s="1"/>
  <c r="G23" i="1"/>
  <c r="D18" i="7" s="1"/>
  <c r="E23" i="1"/>
  <c r="P22"/>
  <c r="O22"/>
  <c r="H17" i="7" s="1"/>
  <c r="M22" i="1"/>
  <c r="G17" i="7" s="1"/>
  <c r="K22" i="1"/>
  <c r="F17" i="7" s="1"/>
  <c r="I22" i="1"/>
  <c r="E17" i="7" s="1"/>
  <c r="G22" i="1"/>
  <c r="D17" i="7" s="1"/>
  <c r="E22" i="1"/>
  <c r="P21"/>
  <c r="O21"/>
  <c r="H16" i="7" s="1"/>
  <c r="M21" i="1"/>
  <c r="G16" i="7" s="1"/>
  <c r="K21" i="1"/>
  <c r="F16" i="7" s="1"/>
  <c r="I21" i="1"/>
  <c r="E16" i="7" s="1"/>
  <c r="G21" i="1"/>
  <c r="D16" i="7" s="1"/>
  <c r="E21" i="1"/>
  <c r="P20"/>
  <c r="O20"/>
  <c r="H15" i="7" s="1"/>
  <c r="M20" i="1"/>
  <c r="G15" i="7" s="1"/>
  <c r="K20" i="1"/>
  <c r="F15" i="7" s="1"/>
  <c r="I20" i="1"/>
  <c r="E15" i="7" s="1"/>
  <c r="G20" i="1"/>
  <c r="D15" i="7" s="1"/>
  <c r="E20" i="1"/>
  <c r="P19"/>
  <c r="O19"/>
  <c r="H14" i="7" s="1"/>
  <c r="M19" i="1"/>
  <c r="G14" i="7" s="1"/>
  <c r="K19" i="1"/>
  <c r="F14" i="7" s="1"/>
  <c r="I19" i="1"/>
  <c r="E14" i="7" s="1"/>
  <c r="G19" i="1"/>
  <c r="D14" i="7" s="1"/>
  <c r="E19" i="1"/>
  <c r="P18"/>
  <c r="O18"/>
  <c r="H13" i="7" s="1"/>
  <c r="M18" i="1"/>
  <c r="G13" i="7" s="1"/>
  <c r="K18" i="1"/>
  <c r="F13" i="7" s="1"/>
  <c r="I18" i="1"/>
  <c r="E13" i="7" s="1"/>
  <c r="G18" i="1"/>
  <c r="D13" i="7" s="1"/>
  <c r="E18" i="1"/>
  <c r="P17"/>
  <c r="O17"/>
  <c r="H12" i="7" s="1"/>
  <c r="M17" i="1"/>
  <c r="G12" i="7" s="1"/>
  <c r="K17" i="1"/>
  <c r="F12" i="7" s="1"/>
  <c r="I17" i="1"/>
  <c r="E12" i="7" s="1"/>
  <c r="G17" i="1"/>
  <c r="D12" i="7" s="1"/>
  <c r="E17" i="1"/>
  <c r="P16"/>
  <c r="O16"/>
  <c r="H11" i="7" s="1"/>
  <c r="M16" i="1"/>
  <c r="G11" i="7" s="1"/>
  <c r="K16" i="1"/>
  <c r="F11" i="7" s="1"/>
  <c r="I16" i="1"/>
  <c r="E11" i="7" s="1"/>
  <c r="G16" i="1"/>
  <c r="D11" i="7" s="1"/>
  <c r="E16" i="1"/>
  <c r="P15"/>
  <c r="O15"/>
  <c r="H10" i="7" s="1"/>
  <c r="M15" i="1"/>
  <c r="G10" i="7" s="1"/>
  <c r="K15" i="1"/>
  <c r="F10" i="7" s="1"/>
  <c r="I15" i="1"/>
  <c r="E10" i="7" s="1"/>
  <c r="G15" i="1"/>
  <c r="D10" i="7" s="1"/>
  <c r="E15" i="1"/>
  <c r="P14"/>
  <c r="O14"/>
  <c r="H9" i="7" s="1"/>
  <c r="M14" i="1"/>
  <c r="G9" i="7" s="1"/>
  <c r="K14" i="1"/>
  <c r="F9" i="7" s="1"/>
  <c r="I14" i="1"/>
  <c r="E9" i="7" s="1"/>
  <c r="G14" i="1"/>
  <c r="D9" i="7" s="1"/>
  <c r="E14" i="1"/>
  <c r="P13"/>
  <c r="O13"/>
  <c r="H8" i="7" s="1"/>
  <c r="M13" i="1"/>
  <c r="G8" i="7" s="1"/>
  <c r="K13" i="1"/>
  <c r="F8" i="7" s="1"/>
  <c r="I13" i="1"/>
  <c r="E8" i="7" s="1"/>
  <c r="G13" i="1"/>
  <c r="D8" i="7" s="1"/>
  <c r="E13" i="1"/>
  <c r="P12"/>
  <c r="O12"/>
  <c r="H7" i="7" s="1"/>
  <c r="M12" i="1"/>
  <c r="G7" i="7" s="1"/>
  <c r="K12" i="1"/>
  <c r="F7" i="7" s="1"/>
  <c r="I12" i="1"/>
  <c r="E7" i="7" s="1"/>
  <c r="G12" i="1"/>
  <c r="D7" i="7" s="1"/>
  <c r="E12" i="1"/>
  <c r="P11"/>
  <c r="O11"/>
  <c r="H6" i="7" s="1"/>
  <c r="M11" i="1"/>
  <c r="G6" i="7" s="1"/>
  <c r="K11" i="1"/>
  <c r="F6" i="7" s="1"/>
  <c r="I11" i="1"/>
  <c r="E6" i="7" s="1"/>
  <c r="G11" i="1"/>
  <c r="D6" i="7" s="1"/>
  <c r="E11" i="1"/>
  <c r="P10"/>
  <c r="O10"/>
  <c r="M10"/>
  <c r="K10"/>
  <c r="I10"/>
  <c r="G10"/>
  <c r="E10"/>
  <c r="AE17" i="13"/>
  <c r="Z17"/>
  <c r="U17"/>
  <c r="K41" i="1" l="1"/>
  <c r="Q57" i="3"/>
  <c r="Q89"/>
  <c r="Q73"/>
  <c r="Q105"/>
  <c r="Q137"/>
  <c r="Q25"/>
  <c r="Q41"/>
  <c r="Q9"/>
  <c r="O57" i="1"/>
  <c r="I41"/>
  <c r="P41"/>
  <c r="G25"/>
  <c r="M41"/>
  <c r="P25"/>
  <c r="G41"/>
  <c r="O41"/>
  <c r="P89"/>
  <c r="G105"/>
  <c r="Q57" i="4"/>
  <c r="Q73"/>
  <c r="Q137"/>
  <c r="Q89"/>
  <c r="Q25"/>
  <c r="Q41"/>
  <c r="Q121"/>
  <c r="Q105"/>
  <c r="Q9"/>
  <c r="D37" i="7"/>
  <c r="G53"/>
  <c r="M57" i="1"/>
  <c r="D101" i="7"/>
  <c r="G117"/>
  <c r="M121" i="1"/>
  <c r="D21" i="7"/>
  <c r="G37"/>
  <c r="E69"/>
  <c r="I73" i="1"/>
  <c r="D85" i="7"/>
  <c r="G89" i="1"/>
  <c r="F21" i="7"/>
  <c r="K25" i="1"/>
  <c r="E37" i="7"/>
  <c r="D53"/>
  <c r="G57" i="1"/>
  <c r="H53" i="7"/>
  <c r="G69"/>
  <c r="M73" i="1"/>
  <c r="F85" i="7"/>
  <c r="K89" i="1"/>
  <c r="E101" i="7"/>
  <c r="I105" i="1"/>
  <c r="D117" i="7"/>
  <c r="G121" i="1"/>
  <c r="H117" i="7"/>
  <c r="O121" i="1"/>
  <c r="G133" i="7"/>
  <c r="M137" i="1"/>
  <c r="P73"/>
  <c r="P105"/>
  <c r="E21" i="7"/>
  <c r="I25" i="1"/>
  <c r="H37" i="7"/>
  <c r="F69"/>
  <c r="K73" i="1"/>
  <c r="E85" i="7"/>
  <c r="I89" i="1"/>
  <c r="H101" i="7"/>
  <c r="O105" i="1"/>
  <c r="F133" i="7"/>
  <c r="K137" i="1"/>
  <c r="H21" i="7"/>
  <c r="O25" i="1"/>
  <c r="F53" i="7"/>
  <c r="K57" i="1"/>
  <c r="H85" i="7"/>
  <c r="O89" i="1"/>
  <c r="G101" i="7"/>
  <c r="M105" i="1"/>
  <c r="F117" i="7"/>
  <c r="K121" i="1"/>
  <c r="E133" i="7"/>
  <c r="I137" i="1"/>
  <c r="G21" i="7"/>
  <c r="M25" i="1"/>
  <c r="F37" i="7"/>
  <c r="E53"/>
  <c r="I57" i="1"/>
  <c r="D69" i="7"/>
  <c r="G73" i="1"/>
  <c r="H69" i="7"/>
  <c r="O73" i="1"/>
  <c r="G85" i="7"/>
  <c r="M89" i="1"/>
  <c r="F101" i="7"/>
  <c r="K105" i="1"/>
  <c r="E117" i="7"/>
  <c r="I121" i="1"/>
  <c r="D133" i="7"/>
  <c r="G137" i="1"/>
  <c r="H133" i="7"/>
  <c r="O137" i="1"/>
  <c r="P137"/>
  <c r="P57"/>
  <c r="P121"/>
  <c r="G5" i="7"/>
  <c r="M9" i="1"/>
  <c r="P9"/>
  <c r="F5" i="7"/>
  <c r="K9" i="1"/>
  <c r="E5" i="7"/>
  <c r="I9" i="1"/>
  <c r="D5" i="7"/>
  <c r="G9" i="1"/>
  <c r="H5" i="7"/>
  <c r="O9" i="1"/>
  <c r="I144" i="7"/>
  <c r="I145"/>
  <c r="I147"/>
  <c r="I146"/>
  <c r="I6"/>
  <c r="I10"/>
  <c r="I14"/>
  <c r="I15"/>
  <c r="I19"/>
  <c r="I8"/>
  <c r="I12"/>
  <c r="I16"/>
  <c r="I17"/>
  <c r="R10" i="1"/>
  <c r="T11"/>
  <c r="Q12"/>
  <c r="T13"/>
  <c r="Q14"/>
  <c r="T15"/>
  <c r="Q16"/>
  <c r="T17"/>
  <c r="Q18"/>
  <c r="T22"/>
  <c r="Q23"/>
  <c r="T24"/>
  <c r="Q26"/>
  <c r="Q27"/>
  <c r="Q28"/>
  <c r="Q29"/>
  <c r="Q30"/>
  <c r="Q31"/>
  <c r="Q32"/>
  <c r="Q33"/>
  <c r="Q34"/>
  <c r="Q35"/>
  <c r="Q36"/>
  <c r="Q37"/>
  <c r="Q38"/>
  <c r="Q39"/>
  <c r="Q40"/>
  <c r="Q42"/>
  <c r="Q43"/>
  <c r="Q44"/>
  <c r="Q45"/>
  <c r="Q46"/>
  <c r="Q47"/>
  <c r="Q48"/>
  <c r="Q49"/>
  <c r="Q50"/>
  <c r="Q51"/>
  <c r="Q52"/>
  <c r="Q53"/>
  <c r="Q54"/>
  <c r="Q55"/>
  <c r="Q56"/>
  <c r="Q58"/>
  <c r="Q59"/>
  <c r="Q60"/>
  <c r="Q61"/>
  <c r="Q62"/>
  <c r="Q63"/>
  <c r="Q64"/>
  <c r="Q65"/>
  <c r="Q66"/>
  <c r="Q67"/>
  <c r="Q68"/>
  <c r="Q69"/>
  <c r="Q70"/>
  <c r="Q71"/>
  <c r="Q72"/>
  <c r="Q74"/>
  <c r="Q75"/>
  <c r="Q76"/>
  <c r="Q77"/>
  <c r="Q78"/>
  <c r="Q79"/>
  <c r="Q80"/>
  <c r="Q81"/>
  <c r="Q82"/>
  <c r="Q83"/>
  <c r="Q84"/>
  <c r="Q85"/>
  <c r="Q86"/>
  <c r="Q87"/>
  <c r="Q88"/>
  <c r="Q90"/>
  <c r="Q91"/>
  <c r="Q92"/>
  <c r="Q93"/>
  <c r="Q94"/>
  <c r="Q95"/>
  <c r="Q96"/>
  <c r="Q97"/>
  <c r="Q98"/>
  <c r="Q99"/>
  <c r="Q100"/>
  <c r="Q101"/>
  <c r="Q102"/>
  <c r="Q103"/>
  <c r="Q104"/>
  <c r="Q106"/>
  <c r="Q107"/>
  <c r="Q108"/>
  <c r="Q109"/>
  <c r="Q110"/>
  <c r="Q111"/>
  <c r="Q112"/>
  <c r="Q113"/>
  <c r="Q114"/>
  <c r="Q115"/>
  <c r="Q116"/>
  <c r="Q117"/>
  <c r="Q118"/>
  <c r="Q119"/>
  <c r="Q120"/>
  <c r="Q122"/>
  <c r="Q123"/>
  <c r="Q124"/>
  <c r="Q125"/>
  <c r="Q126"/>
  <c r="Q127"/>
  <c r="Q128"/>
  <c r="Q129"/>
  <c r="Q130"/>
  <c r="Q131"/>
  <c r="Q132"/>
  <c r="Q133"/>
  <c r="Q134"/>
  <c r="Q135"/>
  <c r="Q136"/>
  <c r="Q138"/>
  <c r="Q139"/>
  <c r="Q140"/>
  <c r="Q141"/>
  <c r="Q142"/>
  <c r="Q143"/>
  <c r="Q144"/>
  <c r="Q145"/>
  <c r="Q146"/>
  <c r="Q147"/>
  <c r="Q148"/>
  <c r="Q10"/>
  <c r="S11"/>
  <c r="S13"/>
  <c r="S15"/>
  <c r="S17"/>
  <c r="S22"/>
  <c r="S24"/>
  <c r="T10"/>
  <c r="Q11"/>
  <c r="I7" i="7"/>
  <c r="T12" i="1"/>
  <c r="Q13"/>
  <c r="I9" i="7"/>
  <c r="T14" i="1"/>
  <c r="Q15"/>
  <c r="I11" i="7"/>
  <c r="T16" i="1"/>
  <c r="Q17"/>
  <c r="I13" i="7"/>
  <c r="T18" i="1"/>
  <c r="Q19"/>
  <c r="Q20"/>
  <c r="Q21"/>
  <c r="Q22"/>
  <c r="I18" i="7"/>
  <c r="T23" i="1"/>
  <c r="Q24"/>
  <c r="I22" i="7"/>
  <c r="I23"/>
  <c r="I24"/>
  <c r="I25"/>
  <c r="I26"/>
  <c r="I27"/>
  <c r="I28"/>
  <c r="I29"/>
  <c r="I30"/>
  <c r="I31"/>
  <c r="I32"/>
  <c r="I33"/>
  <c r="I34"/>
  <c r="I35"/>
  <c r="I38"/>
  <c r="I39"/>
  <c r="I40"/>
  <c r="I41"/>
  <c r="I42"/>
  <c r="I43"/>
  <c r="I44"/>
  <c r="I45"/>
  <c r="I46"/>
  <c r="I47"/>
  <c r="I48"/>
  <c r="I50"/>
  <c r="I51"/>
  <c r="I56"/>
  <c r="I57"/>
  <c r="I58"/>
  <c r="I59"/>
  <c r="I62"/>
  <c r="I63"/>
  <c r="I64"/>
  <c r="I65"/>
  <c r="I70"/>
  <c r="I71"/>
  <c r="I73"/>
  <c r="I74"/>
  <c r="I75"/>
  <c r="I77"/>
  <c r="I78"/>
  <c r="I80"/>
  <c r="I82"/>
  <c r="I83"/>
  <c r="I90"/>
  <c r="I49"/>
  <c r="I54"/>
  <c r="I55"/>
  <c r="I60"/>
  <c r="I61"/>
  <c r="I66"/>
  <c r="I67"/>
  <c r="I72"/>
  <c r="I76"/>
  <c r="I79"/>
  <c r="I81"/>
  <c r="I86"/>
  <c r="I87"/>
  <c r="I88"/>
  <c r="I89"/>
  <c r="I91"/>
  <c r="I92"/>
  <c r="I93"/>
  <c r="I94"/>
  <c r="I95"/>
  <c r="I96"/>
  <c r="I97"/>
  <c r="I98"/>
  <c r="I99"/>
  <c r="I102"/>
  <c r="I103"/>
  <c r="I104"/>
  <c r="I105"/>
  <c r="I106"/>
  <c r="I107"/>
  <c r="I108"/>
  <c r="I109"/>
  <c r="I110"/>
  <c r="I111"/>
  <c r="I112"/>
  <c r="I113"/>
  <c r="I114"/>
  <c r="I115"/>
  <c r="I118"/>
  <c r="I119"/>
  <c r="I120"/>
  <c r="I121"/>
  <c r="I122"/>
  <c r="I123"/>
  <c r="I124"/>
  <c r="I125"/>
  <c r="I126"/>
  <c r="I127"/>
  <c r="I128"/>
  <c r="I129"/>
  <c r="I130"/>
  <c r="I131"/>
  <c r="I134"/>
  <c r="I135"/>
  <c r="I136"/>
  <c r="I137"/>
  <c r="I138"/>
  <c r="I139"/>
  <c r="I140"/>
  <c r="I141"/>
  <c r="I142"/>
  <c r="I143"/>
  <c r="S10" i="1"/>
  <c r="S12"/>
  <c r="S14"/>
  <c r="S16"/>
  <c r="S18"/>
  <c r="S23"/>
  <c r="P17" i="13"/>
  <c r="K17"/>
  <c r="F17"/>
  <c r="AE18"/>
  <c r="Z18"/>
  <c r="U18"/>
  <c r="P18" l="1"/>
  <c r="Q41" i="1"/>
  <c r="I69" i="7"/>
  <c r="I37"/>
  <c r="I117"/>
  <c r="I85"/>
  <c r="I21"/>
  <c r="I133"/>
  <c r="I101"/>
  <c r="I53"/>
  <c r="Q137" i="1"/>
  <c r="Q73"/>
  <c r="I5" i="7"/>
  <c r="Q121" i="1"/>
  <c r="Q57"/>
  <c r="Q105"/>
  <c r="Q89"/>
  <c r="Q25"/>
  <c r="Q9"/>
  <c r="K18" i="13"/>
  <c r="F18" s="1"/>
  <c r="AI14"/>
  <c r="AG14"/>
  <c r="AF14"/>
  <c r="AD14"/>
  <c r="AB14"/>
  <c r="AA14"/>
  <c r="Y14"/>
  <c r="W14"/>
  <c r="V14"/>
  <c r="T14"/>
  <c r="R14"/>
  <c r="Q14"/>
  <c r="O14"/>
  <c r="M14"/>
  <c r="L14"/>
  <c r="J14"/>
  <c r="H14"/>
  <c r="G14"/>
  <c r="AI13"/>
  <c r="AG13"/>
  <c r="AF13"/>
  <c r="AD13"/>
  <c r="AB13"/>
  <c r="AA13"/>
  <c r="Y13"/>
  <c r="W13"/>
  <c r="V13"/>
  <c r="T13"/>
  <c r="R13"/>
  <c r="Q13"/>
  <c r="O13"/>
  <c r="M13"/>
  <c r="L13"/>
  <c r="J13"/>
  <c r="H13"/>
  <c r="G13"/>
  <c r="AI12"/>
  <c r="AG12"/>
  <c r="AF12"/>
  <c r="AD12"/>
  <c r="AB12"/>
  <c r="AA12"/>
  <c r="Y12"/>
  <c r="W12"/>
  <c r="V12"/>
  <c r="T12"/>
  <c r="R12"/>
  <c r="Q12"/>
  <c r="O12"/>
  <c r="M12"/>
  <c r="L12"/>
  <c r="J12"/>
  <c r="H12"/>
  <c r="G12"/>
  <c r="AI11"/>
  <c r="AG11"/>
  <c r="AF11"/>
  <c r="AD11"/>
  <c r="AB11"/>
  <c r="AA11"/>
  <c r="Y11"/>
  <c r="W11"/>
  <c r="V11"/>
  <c r="T11"/>
  <c r="R11"/>
  <c r="Q11"/>
  <c r="O11"/>
  <c r="M11"/>
  <c r="L11"/>
  <c r="J11"/>
  <c r="H11"/>
  <c r="G11"/>
  <c r="AI10"/>
  <c r="AG10"/>
  <c r="AF10"/>
  <c r="AD10"/>
  <c r="AB10"/>
  <c r="AA10"/>
  <c r="Y10"/>
  <c r="W10"/>
  <c r="V10"/>
  <c r="T10"/>
  <c r="R10"/>
  <c r="Q10"/>
  <c r="O10"/>
  <c r="M10"/>
  <c r="L10"/>
  <c r="J10"/>
  <c r="H10"/>
  <c r="G10"/>
  <c r="AI9"/>
  <c r="AG9"/>
  <c r="AF9"/>
  <c r="AD9"/>
  <c r="AB9"/>
  <c r="AA9"/>
  <c r="Y9"/>
  <c r="W9"/>
  <c r="V9"/>
  <c r="T9"/>
  <c r="R9"/>
  <c r="Q9"/>
  <c r="O9"/>
  <c r="M9"/>
  <c r="L9"/>
  <c r="J9"/>
  <c r="H9"/>
  <c r="G9"/>
  <c r="AI8"/>
  <c r="AG8"/>
  <c r="AF8"/>
  <c r="AD8"/>
  <c r="AB8"/>
  <c r="AA8"/>
  <c r="Y8"/>
  <c r="W8"/>
  <c r="V8"/>
  <c r="T8"/>
  <c r="R8"/>
  <c r="Q8"/>
  <c r="O8"/>
  <c r="M8"/>
  <c r="L8"/>
  <c r="J8"/>
  <c r="H8"/>
  <c r="G8"/>
  <c r="AI7"/>
  <c r="AG7"/>
  <c r="AF7"/>
  <c r="AD7"/>
  <c r="AB7"/>
  <c r="AA7"/>
  <c r="Y7"/>
  <c r="W7"/>
  <c r="V7"/>
  <c r="T7"/>
  <c r="R7"/>
  <c r="Q7"/>
  <c r="O7"/>
  <c r="M7"/>
  <c r="L7"/>
  <c r="J7"/>
  <c r="H7"/>
  <c r="G7"/>
  <c r="AI6"/>
  <c r="AG6"/>
  <c r="AF6"/>
  <c r="AD6"/>
  <c r="AB6"/>
  <c r="AA6"/>
  <c r="Y6"/>
  <c r="W6"/>
  <c r="V6"/>
  <c r="T6"/>
  <c r="R6"/>
  <c r="Q6"/>
  <c r="O6"/>
  <c r="M6"/>
  <c r="L6"/>
  <c r="J6"/>
  <c r="H6"/>
  <c r="G6"/>
  <c r="AI5"/>
  <c r="AG5"/>
  <c r="AF5"/>
  <c r="AD5"/>
  <c r="AB5"/>
  <c r="AA5"/>
  <c r="Y5"/>
  <c r="W5"/>
  <c r="V5"/>
  <c r="T5"/>
  <c r="R5"/>
  <c r="Q5"/>
  <c r="O5"/>
  <c r="M5"/>
  <c r="L5"/>
  <c r="J5"/>
  <c r="H5"/>
  <c r="G5"/>
  <c r="AI4"/>
  <c r="AG4"/>
  <c r="AF4"/>
  <c r="AD4"/>
  <c r="AB4"/>
  <c r="AA4"/>
  <c r="Y4"/>
  <c r="W4"/>
  <c r="V4"/>
  <c r="T4"/>
  <c r="R4"/>
  <c r="Q4"/>
  <c r="O4"/>
  <c r="M4"/>
  <c r="L4"/>
  <c r="J4"/>
  <c r="H4"/>
  <c r="G4"/>
  <c r="AE3"/>
  <c r="Z3"/>
  <c r="U3"/>
  <c r="P3"/>
  <c r="K3"/>
  <c r="F3"/>
  <c r="J14" i="17"/>
  <c r="H14"/>
  <c r="G14"/>
  <c r="J13"/>
  <c r="H13"/>
  <c r="G13"/>
  <c r="J12"/>
  <c r="H12"/>
  <c r="G12"/>
  <c r="J11"/>
  <c r="H11"/>
  <c r="G11"/>
  <c r="J10"/>
  <c r="H10"/>
  <c r="G10"/>
  <c r="J9"/>
  <c r="H9"/>
  <c r="G9"/>
  <c r="J8"/>
  <c r="H8"/>
  <c r="G8"/>
  <c r="J7"/>
  <c r="H7"/>
  <c r="G7"/>
  <c r="J6"/>
  <c r="H6"/>
  <c r="G6"/>
  <c r="J5"/>
  <c r="H5"/>
  <c r="G5"/>
  <c r="J4"/>
  <c r="H4"/>
  <c r="G4"/>
  <c r="F3"/>
  <c r="AF2" i="13" l="1"/>
  <c r="AG2" s="1"/>
  <c r="V2"/>
  <c r="W2" s="1"/>
  <c r="G2"/>
  <c r="H2" s="1"/>
  <c r="G17" i="17"/>
  <c r="H17" s="1"/>
  <c r="O3" i="13"/>
  <c r="K15" s="1"/>
  <c r="AI3"/>
  <c r="AE15" s="1"/>
  <c r="Y3"/>
  <c r="U15" s="1"/>
  <c r="J3"/>
  <c r="F15" s="1"/>
  <c r="T3"/>
  <c r="P15" s="1"/>
  <c r="AD3"/>
  <c r="Z15" s="1"/>
  <c r="J3" i="17"/>
  <c r="F2" s="1"/>
  <c r="F16" l="1"/>
  <c r="G16"/>
  <c r="K2" i="13"/>
  <c r="F2" s="1"/>
  <c r="AE2"/>
  <c r="Z2"/>
  <c r="U2" s="1"/>
  <c r="P2" s="1"/>
  <c r="H16" i="17" l="1"/>
</calcChain>
</file>

<file path=xl/sharedStrings.xml><?xml version="1.0" encoding="utf-8"?>
<sst xmlns="http://schemas.openxmlformats.org/spreadsheetml/2006/main" count="626" uniqueCount="218">
  <si>
    <t>India</t>
  </si>
  <si>
    <t>South Africa</t>
  </si>
  <si>
    <t>Match</t>
  </si>
  <si>
    <t>Total Points</t>
  </si>
  <si>
    <t>Player</t>
  </si>
  <si>
    <t>Team</t>
  </si>
  <si>
    <t>Run</t>
  </si>
  <si>
    <t>Point</t>
  </si>
  <si>
    <t>Total Runs</t>
  </si>
  <si>
    <t>Wicket</t>
  </si>
  <si>
    <t>Total Wickets</t>
  </si>
  <si>
    <t>1 Run</t>
  </si>
  <si>
    <t>50 Run</t>
  </si>
  <si>
    <t>100 Run</t>
  </si>
  <si>
    <t>150 Run</t>
  </si>
  <si>
    <t>200 Run</t>
  </si>
  <si>
    <t>Bonus</t>
  </si>
  <si>
    <t>Rules</t>
  </si>
  <si>
    <t>1 Wicket</t>
  </si>
  <si>
    <t>4 Wicket</t>
  </si>
  <si>
    <t>5 or more wicket</t>
  </si>
  <si>
    <t>Points</t>
  </si>
  <si>
    <t>3 Wicket</t>
  </si>
  <si>
    <t>Ct + Ro + St</t>
  </si>
  <si>
    <t>Total Ct + Ro + St</t>
  </si>
  <si>
    <t>1 Ct + Ro + St</t>
  </si>
  <si>
    <t>Date</t>
  </si>
  <si>
    <t>Player1</t>
  </si>
  <si>
    <t>Player2</t>
  </si>
  <si>
    <t>Player3</t>
  </si>
  <si>
    <t>Player4</t>
  </si>
  <si>
    <t>Player5</t>
  </si>
  <si>
    <t>Total</t>
  </si>
  <si>
    <t>Cost</t>
  </si>
  <si>
    <t>Enter Parameters to Process the Calculation</t>
  </si>
  <si>
    <t>Number of Teams</t>
  </si>
  <si>
    <t>From</t>
  </si>
  <si>
    <t>To</t>
  </si>
  <si>
    <t>1 Substitution</t>
  </si>
  <si>
    <t>Points Deduction</t>
  </si>
  <si>
    <t>Bt</t>
  </si>
  <si>
    <t>W</t>
  </si>
  <si>
    <t>Bw</t>
  </si>
  <si>
    <t>Type</t>
  </si>
  <si>
    <t>INDIA</t>
  </si>
  <si>
    <t>All</t>
  </si>
  <si>
    <t>Batsman (Bt)</t>
  </si>
  <si>
    <t>Wicketkeeper (W)</t>
  </si>
  <si>
    <t>Bowler (Bw)</t>
  </si>
  <si>
    <t>Allrounder (All)</t>
  </si>
  <si>
    <t>Team Configuration</t>
  </si>
  <si>
    <t>Minimum Required</t>
  </si>
  <si>
    <t>Faf du plessis</t>
  </si>
  <si>
    <t>Imran Tahir</t>
  </si>
  <si>
    <t>Colin Ingram</t>
  </si>
  <si>
    <t>Morne Van Wyk</t>
  </si>
  <si>
    <t>SOUTH AFRICA</t>
  </si>
  <si>
    <t>Sachin Tendulkar</t>
  </si>
  <si>
    <t>Virender Sehwag</t>
  </si>
  <si>
    <t>Gautam Gambhir</t>
  </si>
  <si>
    <t>Viraat Kohli</t>
  </si>
  <si>
    <t>Suresh Raina</t>
  </si>
  <si>
    <t>MS Dhoni</t>
  </si>
  <si>
    <t>Yousuf Pathan</t>
  </si>
  <si>
    <t>Munaf Patel</t>
  </si>
  <si>
    <t>Piyush Chawla</t>
  </si>
  <si>
    <t>Ashish Nehra</t>
  </si>
  <si>
    <t>Harbhajan Singh</t>
  </si>
  <si>
    <t>Zaheer Khan</t>
  </si>
  <si>
    <t>R Ashwin</t>
  </si>
  <si>
    <t>H Amla</t>
  </si>
  <si>
    <t>G Smith</t>
  </si>
  <si>
    <t>J Kallis</t>
  </si>
  <si>
    <t>AB De Villiers</t>
  </si>
  <si>
    <t>JP Duminy</t>
  </si>
  <si>
    <t>R Peterson</t>
  </si>
  <si>
    <t>T Tsotsobe</t>
  </si>
  <si>
    <t>J Botha</t>
  </si>
  <si>
    <t>Dale Steyn</t>
  </si>
  <si>
    <t>Morne Morkel</t>
  </si>
  <si>
    <t>T Parnell</t>
  </si>
  <si>
    <t>Yuvraj Singh</t>
  </si>
  <si>
    <t>Team1</t>
  </si>
  <si>
    <t>Team3</t>
  </si>
  <si>
    <t>Team4</t>
  </si>
  <si>
    <t>Team5</t>
  </si>
  <si>
    <t>Team6</t>
  </si>
  <si>
    <t>Player6</t>
  </si>
  <si>
    <t>Player7</t>
  </si>
  <si>
    <t>Player8</t>
  </si>
  <si>
    <t>Player9</t>
  </si>
  <si>
    <t>Player10</t>
  </si>
  <si>
    <t>Player11</t>
  </si>
  <si>
    <t># Changes</t>
  </si>
  <si>
    <t>Final Score</t>
  </si>
  <si>
    <t xml:space="preserve"> Limit</t>
  </si>
  <si>
    <t>Australia</t>
  </si>
  <si>
    <t>England</t>
  </si>
  <si>
    <t>Pakistan</t>
  </si>
  <si>
    <t>New Zealand</t>
  </si>
  <si>
    <t>Sri Lanka</t>
  </si>
  <si>
    <t>Bangladesh</t>
  </si>
  <si>
    <t>West Indies</t>
  </si>
  <si>
    <t>Ricky Ponting</t>
  </si>
  <si>
    <t>Michael Clarke</t>
  </si>
  <si>
    <t>Doug Bollinger</t>
  </si>
  <si>
    <t>Callum Ferguson</t>
  </si>
  <si>
    <t>Brad Haddin</t>
  </si>
  <si>
    <t>John Hastings</t>
  </si>
  <si>
    <t>David Hussey</t>
  </si>
  <si>
    <t>Mitchell Johnson</t>
  </si>
  <si>
    <t>Jason Krejza</t>
  </si>
  <si>
    <t>Brett Lee</t>
  </si>
  <si>
    <t>Tim Paine</t>
  </si>
  <si>
    <t>Steven Smith</t>
  </si>
  <si>
    <t>Shaun Tait</t>
  </si>
  <si>
    <t>Shane Watson</t>
  </si>
  <si>
    <t>Cameron White</t>
  </si>
  <si>
    <t>Andrew Strauss</t>
  </si>
  <si>
    <t>James Anderson</t>
  </si>
  <si>
    <t>Ian Bell</t>
  </si>
  <si>
    <t>Ravi Bopara</t>
  </si>
  <si>
    <t>Tim Bresnan</t>
  </si>
  <si>
    <t>Stuart Broad</t>
  </si>
  <si>
    <t>Paul Collingwood</t>
  </si>
  <si>
    <t>Kevin Pietersen</t>
  </si>
  <si>
    <t>Matt Prior</t>
  </si>
  <si>
    <t>Ajmal Shahzad</t>
  </si>
  <si>
    <t>Graeme Swann</t>
  </si>
  <si>
    <t>James Tredwell</t>
  </si>
  <si>
    <t>Jonathan Trott</t>
  </si>
  <si>
    <t>Luke Wright</t>
  </si>
  <si>
    <t>Michael Yardy</t>
  </si>
  <si>
    <t>Kumar Sangakkara</t>
  </si>
  <si>
    <t>Mahela Jayawardene</t>
  </si>
  <si>
    <t>Tillakaratne Dilshan</t>
  </si>
  <si>
    <t>Dilhara Fernando</t>
  </si>
  <si>
    <t>Rangana Herath</t>
  </si>
  <si>
    <t>Chamara Kapugedera</t>
  </si>
  <si>
    <t>Nuwan Kulasekara</t>
  </si>
  <si>
    <t>Lasith Malinga</t>
  </si>
  <si>
    <t>Angelo Mathews</t>
  </si>
  <si>
    <t>Ajantha Mendis</t>
  </si>
  <si>
    <t>Muttiah Muralitharan</t>
  </si>
  <si>
    <t>Thisara Perera</t>
  </si>
  <si>
    <t>Thilan Samaraweera</t>
  </si>
  <si>
    <t>Chamara Silva</t>
  </si>
  <si>
    <t>Upul Tharanga</t>
  </si>
  <si>
    <t>AUSTRALIA</t>
  </si>
  <si>
    <t>ENGLAND</t>
  </si>
  <si>
    <t>SRI LANKA</t>
  </si>
  <si>
    <t>PAKISTAN</t>
  </si>
  <si>
    <t>Shahid Afridi</t>
  </si>
  <si>
    <t>Misbah-ul-Haq</t>
  </si>
  <si>
    <t>Abdul Razzaq</t>
  </si>
  <si>
    <t>Abdur Rehman</t>
  </si>
  <si>
    <t>Ahmed Shehzad</t>
  </si>
  <si>
    <t>Asad Shafiq</t>
  </si>
  <si>
    <t>Junaid Khan</t>
  </si>
  <si>
    <t>Kamran Akmal</t>
  </si>
  <si>
    <t>Mohammad Hafeez</t>
  </si>
  <si>
    <t>Saeed Ajmal</t>
  </si>
  <si>
    <t>Shoaib Akhtar</t>
  </si>
  <si>
    <t>Umar Akmal</t>
  </si>
  <si>
    <t>Umar Gul</t>
  </si>
  <si>
    <t>Wahab Riaz</t>
  </si>
  <si>
    <t>Younis khan</t>
  </si>
  <si>
    <t>Daniel Vettori</t>
  </si>
  <si>
    <t>Hamish Bennett</t>
  </si>
  <si>
    <t>James Franklin</t>
  </si>
  <si>
    <t>Martin Guptill</t>
  </si>
  <si>
    <t>Jamie How</t>
  </si>
  <si>
    <t>Brendon McCullum</t>
  </si>
  <si>
    <t>Nathan McCullum</t>
  </si>
  <si>
    <t>Kyle Mills</t>
  </si>
  <si>
    <t>Jacob Oram</t>
  </si>
  <si>
    <t>Jesse Ryder</t>
  </si>
  <si>
    <t>Tim Southee</t>
  </si>
  <si>
    <t>Scott Styris</t>
  </si>
  <si>
    <t>Ross Taylor</t>
  </si>
  <si>
    <t>Kane Williamson</t>
  </si>
  <si>
    <t>Luke Woodcock</t>
  </si>
  <si>
    <t>Darren Sammy</t>
  </si>
  <si>
    <t>Adrian Barath</t>
  </si>
  <si>
    <t>Carlton Baugh</t>
  </si>
  <si>
    <t>Sulieman Benn</t>
  </si>
  <si>
    <t>Dwayne Bravo</t>
  </si>
  <si>
    <t>Darren Bravo</t>
  </si>
  <si>
    <t>Shivnarine Chanderpaul</t>
  </si>
  <si>
    <t>Chris Gayle</t>
  </si>
  <si>
    <t>Nikita Miller</t>
  </si>
  <si>
    <t>Kieron Pollard</t>
  </si>
  <si>
    <t>Ravi Rampaul</t>
  </si>
  <si>
    <t>Kemar Roach</t>
  </si>
  <si>
    <t>Andre Russell</t>
  </si>
  <si>
    <t>Ramnaresh Sarwan</t>
  </si>
  <si>
    <t>Devon Smith</t>
  </si>
  <si>
    <t>Shakib Al Hasan</t>
  </si>
  <si>
    <t>Tamim Iqbal</t>
  </si>
  <si>
    <t>Abdur Razzak</t>
  </si>
  <si>
    <t>Imrul Kayes</t>
  </si>
  <si>
    <t>Junaid Siddique</t>
  </si>
  <si>
    <t>Mahmudullah</t>
  </si>
  <si>
    <t>Mohammad Ashraful</t>
  </si>
  <si>
    <t>Mushfique Rahim</t>
  </si>
  <si>
    <t>Naeem Islam</t>
  </si>
  <si>
    <t>Nazmul Hossain</t>
  </si>
  <si>
    <t>Raqibul Hasan</t>
  </si>
  <si>
    <t>Rubel Hossain</t>
  </si>
  <si>
    <t>Shafiul Islam</t>
  </si>
  <si>
    <t>Shahriar Nafees</t>
  </si>
  <si>
    <t>Suhrawadi Shuvo</t>
  </si>
  <si>
    <t xml:space="preserve">Sreesanth </t>
  </si>
  <si>
    <t>Minimum</t>
  </si>
  <si>
    <t>2 * ( Maximum allowed cost - Team cost)</t>
  </si>
  <si>
    <t>Extra Playing Rule</t>
  </si>
  <si>
    <t>Sandeep</t>
  </si>
  <si>
    <t>Sam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</si>
</sst>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7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Protection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15" fontId="0" fillId="5" borderId="2" xfId="0" applyNumberFormat="1" applyFill="1" applyBorder="1" applyAlignment="1">
      <alignment horizontal="center"/>
    </xf>
    <xf numFmtId="0" fontId="0" fillId="6" borderId="1" xfId="0" applyFill="1" applyBorder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15" fontId="0" fillId="5" borderId="2" xfId="0" applyNumberFormat="1" applyFill="1" applyBorder="1" applyAlignment="1">
      <alignment horizontal="center"/>
    </xf>
    <xf numFmtId="164" fontId="0" fillId="0" borderId="0" xfId="0" applyNumberFormat="1"/>
    <xf numFmtId="164" fontId="0" fillId="7" borderId="1" xfId="0" applyNumberFormat="1" applyFill="1" applyBorder="1"/>
    <xf numFmtId="0" fontId="0" fillId="7" borderId="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0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15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10" borderId="1" xfId="0" applyFill="1" applyBorder="1"/>
    <xf numFmtId="164" fontId="0" fillId="10" borderId="1" xfId="0" applyNumberFormat="1" applyFill="1" applyBorder="1"/>
    <xf numFmtId="0" fontId="0" fillId="0" borderId="1" xfId="0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1" xfId="0" applyFont="1" applyBorder="1" applyAlignment="1"/>
    <xf numFmtId="0" fontId="0" fillId="0" borderId="1" xfId="0" quotePrefix="1" applyBorder="1" applyAlignment="1">
      <alignment horizontal="center"/>
    </xf>
    <xf numFmtId="0" fontId="0" fillId="2" borderId="21" xfId="0" applyFill="1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 applyAlignment="1">
      <alignment horizontal="center"/>
    </xf>
    <xf numFmtId="0" fontId="0" fillId="0" borderId="0" xfId="0" applyFill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3" fillId="9" borderId="7" xfId="0" applyFont="1" applyFill="1" applyBorder="1" applyProtection="1"/>
    <xf numFmtId="0" fontId="0" fillId="3" borderId="9" xfId="0" applyFill="1" applyBorder="1" applyProtection="1"/>
    <xf numFmtId="0" fontId="0" fillId="3" borderId="12" xfId="0" applyFill="1" applyBorder="1" applyProtection="1"/>
    <xf numFmtId="0" fontId="6" fillId="0" borderId="8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3" borderId="11" xfId="0" applyFill="1" applyBorder="1" applyProtection="1"/>
    <xf numFmtId="0" fontId="4" fillId="8" borderId="13" xfId="0" applyFont="1" applyFill="1" applyBorder="1" applyAlignment="1">
      <alignment horizontal="left"/>
    </xf>
    <xf numFmtId="0" fontId="4" fillId="8" borderId="14" xfId="0" applyFont="1" applyFill="1" applyBorder="1" applyAlignment="1">
      <alignment horizontal="left"/>
    </xf>
    <xf numFmtId="0" fontId="4" fillId="8" borderId="15" xfId="0" applyFont="1" applyFill="1" applyBorder="1" applyAlignment="1">
      <alignment horizontal="left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3" fillId="9" borderId="6" xfId="0" applyFont="1" applyFill="1" applyBorder="1" applyProtection="1">
      <protection locked="0"/>
    </xf>
    <xf numFmtId="0" fontId="0" fillId="0" borderId="8" xfId="0" applyBorder="1" applyAlignment="1"/>
    <xf numFmtId="0" fontId="0" fillId="0" borderId="8" xfId="0" applyFill="1" applyBorder="1" applyAlignment="1"/>
    <xf numFmtId="0" fontId="0" fillId="0" borderId="10" xfId="0" applyFill="1" applyBorder="1" applyAlignment="1"/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 applyProtection="1"/>
    <xf numFmtId="0" fontId="0" fillId="0" borderId="0" xfId="0" applyProtection="1"/>
    <xf numFmtId="0" fontId="0" fillId="0" borderId="0" xfId="0" applyFill="1" applyBorder="1" applyAlignment="1" applyProtection="1"/>
    <xf numFmtId="0" fontId="0" fillId="0" borderId="0" xfId="0" applyBorder="1" applyProtection="1"/>
    <xf numFmtId="0" fontId="5" fillId="0" borderId="0" xfId="0" applyFont="1" applyFill="1" applyBorder="1" applyAlignment="1" applyProtection="1"/>
    <xf numFmtId="0" fontId="5" fillId="0" borderId="0" xfId="0" applyFont="1" applyFill="1" applyBorder="1" applyAlignment="1" applyProtection="1">
      <alignment horizontal="center"/>
    </xf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8" xfId="0" applyBorder="1" applyProtection="1"/>
    <xf numFmtId="0" fontId="0" fillId="0" borderId="1" xfId="0" quotePrefix="1" applyBorder="1" applyAlignment="1" applyProtection="1">
      <alignment horizontal="center"/>
    </xf>
    <xf numFmtId="0" fontId="0" fillId="0" borderId="9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0" fillId="0" borderId="6" xfId="0" applyBorder="1" applyProtection="1"/>
    <xf numFmtId="0" fontId="3" fillId="9" borderId="6" xfId="0" applyFont="1" applyFill="1" applyBorder="1" applyProtection="1"/>
    <xf numFmtId="0" fontId="0" fillId="0" borderId="8" xfId="0" applyBorder="1" applyAlignment="1" applyProtection="1"/>
    <xf numFmtId="0" fontId="6" fillId="0" borderId="8" xfId="0" applyFont="1" applyBorder="1" applyAlignment="1" applyProtection="1">
      <alignment horizontal="center" vertical="center"/>
    </xf>
    <xf numFmtId="0" fontId="0" fillId="0" borderId="1" xfId="0" applyBorder="1" applyProtection="1"/>
    <xf numFmtId="0" fontId="0" fillId="11" borderId="8" xfId="0" applyFill="1" applyBorder="1" applyProtection="1"/>
    <xf numFmtId="0" fontId="0" fillId="0" borderId="8" xfId="0" applyFill="1" applyBorder="1" applyAlignment="1" applyProtection="1"/>
    <xf numFmtId="0" fontId="0" fillId="0" borderId="10" xfId="0" applyFill="1" applyBorder="1" applyAlignment="1" applyProtection="1"/>
    <xf numFmtId="0" fontId="6" fillId="0" borderId="10" xfId="0" applyFont="1" applyBorder="1" applyAlignment="1" applyProtection="1">
      <alignment horizontal="center" vertical="center"/>
    </xf>
    <xf numFmtId="0" fontId="0" fillId="0" borderId="11" xfId="0" applyBorder="1" applyProtection="1"/>
    <xf numFmtId="0" fontId="5" fillId="0" borderId="0" xfId="0" applyFont="1" applyFill="1" applyAlignment="1" applyProtection="1">
      <alignment horizontal="right"/>
    </xf>
    <xf numFmtId="0" fontId="5" fillId="0" borderId="0" xfId="0" applyFont="1" applyFill="1" applyProtection="1"/>
    <xf numFmtId="0" fontId="5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0" fillId="0" borderId="1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28" xfId="0" applyBorder="1"/>
    <xf numFmtId="0" fontId="0" fillId="0" borderId="21" xfId="0" applyBorder="1"/>
    <xf numFmtId="0" fontId="0" fillId="0" borderId="29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" fillId="7" borderId="1" xfId="0" applyFont="1" applyFill="1" applyBorder="1" applyAlignment="1">
      <alignment horizontal="right"/>
    </xf>
    <xf numFmtId="0" fontId="1" fillId="7" borderId="1" xfId="0" applyFont="1" applyFill="1" applyBorder="1" applyAlignment="1"/>
    <xf numFmtId="0" fontId="0" fillId="13" borderId="1" xfId="0" applyFill="1" applyBorder="1"/>
    <xf numFmtId="0" fontId="0" fillId="14" borderId="1" xfId="0" applyFill="1" applyBorder="1"/>
    <xf numFmtId="14" fontId="0" fillId="0" borderId="0" xfId="0" applyNumberFormat="1"/>
    <xf numFmtId="0" fontId="0" fillId="3" borderId="0" xfId="0" applyFill="1" applyBorder="1" applyProtection="1"/>
    <xf numFmtId="0" fontId="4" fillId="0" borderId="0" xfId="0" applyFont="1" applyBorder="1" applyProtection="1"/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Fill="1" applyBorder="1" applyAlignment="1">
      <alignment horizontal="center" vertical="center" textRotation="90"/>
    </xf>
    <xf numFmtId="0" fontId="0" fillId="12" borderId="25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0" xfId="0" applyBorder="1" applyAlignment="1" applyProtection="1">
      <alignment horizontal="center" vertical="center" textRotation="90"/>
    </xf>
    <xf numFmtId="0" fontId="0" fillId="0" borderId="0" xfId="0" applyFill="1" applyBorder="1" applyAlignment="1" applyProtection="1">
      <alignment horizontal="center" vertical="center" textRotation="90"/>
    </xf>
    <xf numFmtId="0" fontId="0" fillId="2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12" borderId="25" xfId="0" applyFill="1" applyBorder="1" applyAlignment="1" applyProtection="1">
      <alignment horizontal="center"/>
    </xf>
    <xf numFmtId="0" fontId="0" fillId="12" borderId="26" xfId="0" applyFill="1" applyBorder="1" applyAlignment="1" applyProtection="1">
      <alignment horizontal="center"/>
    </xf>
    <xf numFmtId="0" fontId="0" fillId="12" borderId="27" xfId="0" applyFill="1" applyBorder="1" applyAlignment="1" applyProtection="1">
      <alignment horizontal="center"/>
    </xf>
    <xf numFmtId="0" fontId="0" fillId="11" borderId="2" xfId="0" applyFill="1" applyBorder="1" applyAlignment="1" applyProtection="1">
      <alignment horizontal="center"/>
    </xf>
    <xf numFmtId="0" fontId="0" fillId="11" borderId="27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2" fillId="4" borderId="4" xfId="0" applyFont="1" applyFill="1" applyBorder="1" applyAlignment="1">
      <alignment horizontal="center"/>
    </xf>
    <xf numFmtId="15" fontId="0" fillId="5" borderId="2" xfId="0" applyNumberFormat="1" applyFill="1" applyBorder="1" applyAlignment="1">
      <alignment horizontal="center"/>
    </xf>
    <xf numFmtId="15" fontId="0" fillId="5" borderId="3" xfId="0" applyNumberForma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0" borderId="3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0" fillId="0" borderId="31" xfId="0" applyBorder="1" applyAlignment="1">
      <alignment horizontal="center" vertical="center" textRotation="255"/>
    </xf>
  </cellXfs>
  <cellStyles count="1">
    <cellStyle name="Normal" xfId="0" builtinId="0"/>
  </cellStyles>
  <dxfs count="4"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66"/>
      <color rgb="FF003300"/>
      <color rgb="FFFFFF99"/>
      <color rgb="FFFFFFCC"/>
      <color rgb="FF3333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304799</xdr:colOff>
      <xdr:row>3</xdr:row>
      <xdr:rowOff>95250</xdr:rowOff>
    </xdr:from>
    <xdr:to>
      <xdr:col>8</xdr:col>
      <xdr:colOff>333374</xdr:colOff>
      <xdr:row>5</xdr:row>
      <xdr:rowOff>142875</xdr:rowOff>
    </xdr:to>
    <xdr:sp macro="[0]!calculate" textlink="">
      <xdr:nvSpPr>
        <xdr:cNvPr id="3" name="Rounded Rectangle 2"/>
        <xdr:cNvSpPr/>
      </xdr:nvSpPr>
      <xdr:spPr>
        <a:xfrm>
          <a:off x="5857874" y="685800"/>
          <a:ext cx="94297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4"/>
  <dimension ref="A1:AJ17"/>
  <sheetViews>
    <sheetView workbookViewId="0">
      <selection activeCell="H17" sqref="H17"/>
    </sheetView>
  </sheetViews>
  <sheetFormatPr defaultColWidth="0" defaultRowHeight="14.5"/>
  <cols>
    <col min="1" max="1" width="3.7265625" customWidth="1"/>
    <col min="2" max="2" width="17.453125" bestFit="1" customWidth="1"/>
    <col min="3" max="3" width="12.7265625" customWidth="1"/>
    <col min="4" max="4" width="16.26953125" bestFit="1" customWidth="1"/>
    <col min="5" max="5" width="4.81640625" customWidth="1"/>
    <col min="6" max="6" width="7.54296875" customWidth="1"/>
    <col min="7" max="7" width="2.7265625" customWidth="1"/>
    <col min="8" max="8" width="5.26953125" customWidth="1"/>
    <col min="9" max="9" width="17.54296875" bestFit="1" customWidth="1"/>
    <col min="10" max="10" width="4.81640625" customWidth="1"/>
    <col min="11" max="11" width="9.1796875" customWidth="1"/>
    <col min="12" max="36" width="9.1796875" hidden="1"/>
  </cols>
  <sheetData>
    <row r="1" spans="1:10">
      <c r="A1" s="46"/>
    </row>
    <row r="2" spans="1:10" ht="15" thickBot="1">
      <c r="E2" s="18"/>
      <c r="F2" s="16" t="str">
        <f>IF(ISERROR(IF(COUNTIF(H4:H14,"W")&lt;$C$9,ERROR.TYPE(10),(IF(COUNTIF(H4:H14,"Bt")&lt;$C$8,ERROR.TYPE(10),(IF(COUNTIF(H4:H14,"Bw")&lt;$C$10,ERROR.TYPE(10),(IF(COUNTIF(H4:H14,"All")&lt;$C$11,ERROR.TYPE(10),IF(J3&gt;$C$5,ERROR.TYPE(10),IF(COUNTIF(G4:G14,"&gt;&gt;")&gt;0,ERROR.TYPE(10),"")))))))))),"Error","")</f>
        <v>Error</v>
      </c>
      <c r="G2" s="16"/>
      <c r="H2" s="47"/>
      <c r="I2" s="47"/>
      <c r="J2" s="48"/>
    </row>
    <row r="3" spans="1:10" ht="15" customHeight="1">
      <c r="B3" s="109" t="s">
        <v>17</v>
      </c>
      <c r="C3" s="110"/>
      <c r="D3" s="111"/>
      <c r="E3" s="17"/>
      <c r="F3" s="112" t="str">
        <f>I3</f>
        <v>Team1</v>
      </c>
      <c r="G3" s="42"/>
      <c r="H3" s="43"/>
      <c r="I3" s="60" t="s">
        <v>82</v>
      </c>
      <c r="J3" s="49">
        <f>SUM(J4:J14)</f>
        <v>130</v>
      </c>
    </row>
    <row r="4" spans="1:10">
      <c r="B4" s="11" t="s">
        <v>38</v>
      </c>
      <c r="C4" s="39">
        <v>50</v>
      </c>
      <c r="D4" s="64" t="s">
        <v>39</v>
      </c>
      <c r="E4" s="18"/>
      <c r="F4" s="112"/>
      <c r="G4" s="52" t="str">
        <f>IF(MAX(COUNTIF(I$4:I$14,I4))&gt;1,"&gt;&gt;","")</f>
        <v/>
      </c>
      <c r="H4" s="4" t="str">
        <f t="shared" ref="H4:H14" si="0">IF(ISERROR(VLOOKUP(I4,Universal,3,FALSE)),"",VLOOKUP(I4,Universal,3,FALSE))</f>
        <v>Bt</v>
      </c>
      <c r="I4" s="58" t="s">
        <v>58</v>
      </c>
      <c r="J4" s="50">
        <f t="shared" ref="J4:J14" si="1">IF(ISERROR(VLOOKUP(I4,Universal,2,FALSE)),0,VLOOKUP(I4,Universal,2,FALSE))</f>
        <v>16</v>
      </c>
    </row>
    <row r="5" spans="1:10">
      <c r="B5" s="61" t="s">
        <v>33</v>
      </c>
      <c r="C5" s="64">
        <v>125</v>
      </c>
      <c r="D5" s="65" t="s">
        <v>95</v>
      </c>
      <c r="E5" s="18"/>
      <c r="F5" s="112"/>
      <c r="G5" s="52" t="str">
        <f t="shared" ref="G5:G14" si="2">IF(MAX(COUNTIF(I$4:I$14,I5))&gt;1,"&gt;&gt;","")</f>
        <v/>
      </c>
      <c r="H5" s="4" t="str">
        <f t="shared" si="0"/>
        <v>Bt</v>
      </c>
      <c r="I5" s="58" t="s">
        <v>59</v>
      </c>
      <c r="J5" s="50">
        <f t="shared" si="1"/>
        <v>10</v>
      </c>
    </row>
    <row r="6" spans="1:10">
      <c r="E6" s="18"/>
      <c r="F6" s="112"/>
      <c r="G6" s="52" t="str">
        <f t="shared" si="2"/>
        <v/>
      </c>
      <c r="H6" s="4" t="str">
        <f t="shared" si="0"/>
        <v>W</v>
      </c>
      <c r="I6" s="58" t="s">
        <v>62</v>
      </c>
      <c r="J6" s="50">
        <f t="shared" si="1"/>
        <v>17</v>
      </c>
    </row>
    <row r="7" spans="1:10">
      <c r="B7" s="113" t="s">
        <v>50</v>
      </c>
      <c r="C7" s="114"/>
      <c r="D7" s="115"/>
      <c r="E7" s="18"/>
      <c r="F7" s="112"/>
      <c r="G7" s="52" t="str">
        <f t="shared" si="2"/>
        <v/>
      </c>
      <c r="H7" s="4" t="str">
        <f t="shared" si="0"/>
        <v>All</v>
      </c>
      <c r="I7" s="58" t="s">
        <v>141</v>
      </c>
      <c r="J7" s="50">
        <f t="shared" si="1"/>
        <v>14</v>
      </c>
    </row>
    <row r="8" spans="1:10">
      <c r="B8" s="61" t="s">
        <v>46</v>
      </c>
      <c r="C8" s="64">
        <v>4</v>
      </c>
      <c r="D8" s="64" t="s">
        <v>213</v>
      </c>
      <c r="E8" s="18"/>
      <c r="F8" s="112"/>
      <c r="G8" s="52" t="str">
        <f t="shared" si="2"/>
        <v/>
      </c>
      <c r="H8" s="4" t="str">
        <f t="shared" si="0"/>
        <v>Bt</v>
      </c>
      <c r="I8" s="58" t="s">
        <v>60</v>
      </c>
      <c r="J8" s="50">
        <f t="shared" si="1"/>
        <v>8</v>
      </c>
    </row>
    <row r="9" spans="1:10">
      <c r="B9" s="62" t="s">
        <v>47</v>
      </c>
      <c r="C9" s="64">
        <v>1</v>
      </c>
      <c r="D9" s="64" t="s">
        <v>213</v>
      </c>
      <c r="E9" s="18"/>
      <c r="F9" s="112"/>
      <c r="G9" s="52" t="str">
        <f t="shared" si="2"/>
        <v/>
      </c>
      <c r="H9" s="4" t="str">
        <f t="shared" si="0"/>
        <v>W</v>
      </c>
      <c r="I9" s="58" t="s">
        <v>126</v>
      </c>
      <c r="J9" s="50">
        <f t="shared" si="1"/>
        <v>11</v>
      </c>
    </row>
    <row r="10" spans="1:10">
      <c r="B10" s="62" t="s">
        <v>48</v>
      </c>
      <c r="C10" s="64">
        <v>3</v>
      </c>
      <c r="D10" s="64" t="s">
        <v>213</v>
      </c>
      <c r="E10" s="18"/>
      <c r="F10" s="112"/>
      <c r="G10" s="52" t="str">
        <f t="shared" si="2"/>
        <v/>
      </c>
      <c r="H10" s="4" t="str">
        <f t="shared" si="0"/>
        <v>Bt</v>
      </c>
      <c r="I10" s="58" t="s">
        <v>117</v>
      </c>
      <c r="J10" s="50">
        <f t="shared" si="1"/>
        <v>14</v>
      </c>
    </row>
    <row r="11" spans="1:10" ht="15" thickBot="1">
      <c r="B11" s="63" t="s">
        <v>49</v>
      </c>
      <c r="C11" s="66">
        <v>1</v>
      </c>
      <c r="D11" s="64" t="s">
        <v>213</v>
      </c>
      <c r="F11" s="112"/>
      <c r="G11" s="52" t="str">
        <f t="shared" si="2"/>
        <v/>
      </c>
      <c r="H11" s="4" t="str">
        <f t="shared" si="0"/>
        <v>Bw</v>
      </c>
      <c r="I11" s="58" t="s">
        <v>212</v>
      </c>
      <c r="J11" s="50">
        <f t="shared" si="1"/>
        <v>6</v>
      </c>
    </row>
    <row r="12" spans="1:10" ht="15" thickBot="1">
      <c r="F12" s="112"/>
      <c r="G12" s="52" t="str">
        <f t="shared" si="2"/>
        <v/>
      </c>
      <c r="H12" s="4" t="str">
        <f t="shared" si="0"/>
        <v>Bw</v>
      </c>
      <c r="I12" s="58" t="s">
        <v>112</v>
      </c>
      <c r="J12" s="50">
        <f t="shared" si="1"/>
        <v>14</v>
      </c>
    </row>
    <row r="13" spans="1:10">
      <c r="B13" s="109" t="s">
        <v>215</v>
      </c>
      <c r="C13" s="110"/>
      <c r="D13" s="111"/>
      <c r="F13" s="112"/>
      <c r="G13" s="52" t="str">
        <f t="shared" si="2"/>
        <v/>
      </c>
      <c r="H13" s="4" t="str">
        <f t="shared" si="0"/>
        <v>Bw</v>
      </c>
      <c r="I13" s="58" t="s">
        <v>142</v>
      </c>
      <c r="J13" s="50">
        <f t="shared" si="1"/>
        <v>9</v>
      </c>
    </row>
    <row r="14" spans="1:10" ht="15.75" customHeight="1" thickBot="1">
      <c r="B14" s="116" t="s">
        <v>214</v>
      </c>
      <c r="C14" s="117"/>
      <c r="D14" s="118"/>
      <c r="F14" s="112"/>
      <c r="G14" s="53" t="str">
        <f t="shared" si="2"/>
        <v/>
      </c>
      <c r="H14" s="54" t="str">
        <f t="shared" si="0"/>
        <v>Bw</v>
      </c>
      <c r="I14" s="59" t="s">
        <v>164</v>
      </c>
      <c r="J14" s="51">
        <f t="shared" si="1"/>
        <v>11</v>
      </c>
    </row>
    <row r="16" spans="1:10">
      <c r="F16" t="str">
        <f>IF(ISERROR(IF(COUNTIF(H4:H14,"W")&lt;$C$9,ERROR.TYPE(11),(IF(COUNTIF(H4:H14,"Bt")&lt;$C$8,ERROR.TYPE(12),(IF(COUNTIF(H4:H14,"Bw")&lt;$C$10,ERROR.TYPE(13),(IF(COUNTIF(H4:H14,"All")&lt;$C$11,ERROR.TYPE(14),IF(J3&gt;$C$5,ERROR.TYPE(15),IF(COUNTIF(G4:G14,"&gt;&gt;")&gt;0,ERROR.TYPE(16),"")))))))))),"Error","")</f>
        <v>Error</v>
      </c>
      <c r="G16">
        <f>IF(COUNTIF(H4:H14,"W")&lt;$C$9,1,(IF(COUNTIF(H4:H14,"Bt")&lt;$C$8,2,(IF(COUNTIF(H4:H14,"Bw")&lt;$C$10,3,(IF(COUNTIF(H4:H14,"All")&lt;$C$11,4,(IF(J3&gt;$C$5,5,(IF(COUNTIF(G4:G14,"&gt;&gt;")&gt;0,6,"")))))))))))</f>
        <v>5</v>
      </c>
      <c r="H16" s="107" t="str">
        <f>IF(G16=6,"Player repeated",(IF(G16=5,"Team cost exceeds limit",(IF(G16=4,"Allrounder count below minimum",(IF(G16=3,"Bowler count below minimum",(IF(G16=2,"Batsmen count below minimum",(IF(G16=1,"Wicketkeeper count below minimum","")))))))))))</f>
        <v>Team cost exceeds limit</v>
      </c>
    </row>
    <row r="17" spans="7:8">
      <c r="G17">
        <f>IF(COUNTIF(G4:G14,"&gt;&gt;")&gt;0,6,(IF(COUNTIF(H4:H14,"All")&lt;$C$11,4,(IF(COUNTIF(H4:H14,"Bw")&lt;$C$10,3,(IF(COUNTIF(H4:H14,"Bt")&lt;$C$8,2,(IF(COUNTIF(H4:H14,"W")&lt;$C$9,1,(IF(J3&gt;$C$5,5,"")))))))))))</f>
        <v>5</v>
      </c>
      <c r="H17" t="str">
        <f>IF(G17=6,"Player repeated",(IF(G17=5,"Team cost exceeds limit",(IF(G17=4,"Allrounder count below minimum",(IF(G17=3,"Bowler count below minimum",(IF(G17=2,"Batsmen count below minimum",(IF(G17=1,"Wicketkeeper count below minimum","")))))))))))</f>
        <v>Team cost exceeds limit</v>
      </c>
    </row>
  </sheetData>
  <mergeCells count="5">
    <mergeCell ref="B3:D3"/>
    <mergeCell ref="F3:F14"/>
    <mergeCell ref="B7:D7"/>
    <mergeCell ref="B13:D13"/>
    <mergeCell ref="B14:D14"/>
  </mergeCells>
  <conditionalFormatting sqref="F2:G2">
    <cfRule type="containsText" dxfId="3" priority="3" operator="containsText" text="Error">
      <formula>NOT(ISERROR(SEARCH("Error",F2)))</formula>
    </cfRule>
  </conditionalFormatting>
  <conditionalFormatting sqref="G4:G14">
    <cfRule type="containsText" dxfId="2" priority="2" operator="containsText" text="*">
      <formula>NOT(ISERROR(SEARCH("*",G4)))</formula>
    </cfRule>
  </conditionalFormatting>
  <dataValidations count="1">
    <dataValidation type="list" allowBlank="1" showInputMessage="1" showErrorMessage="1" sqref="I4:I14">
      <formula1>Player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D1:I7"/>
  <sheetViews>
    <sheetView workbookViewId="0">
      <selection activeCell="J20" sqref="J20"/>
    </sheetView>
  </sheetViews>
  <sheetFormatPr defaultRowHeight="14.5"/>
  <cols>
    <col min="1" max="1" width="4.81640625" customWidth="1"/>
    <col min="2" max="2" width="6.453125" customWidth="1"/>
    <col min="3" max="3" width="14.7265625" customWidth="1"/>
    <col min="4" max="4" width="5.81640625" customWidth="1"/>
    <col min="5" max="5" width="16.81640625" bestFit="1" customWidth="1"/>
    <col min="6" max="6" width="15.7265625" customWidth="1"/>
    <col min="7" max="7" width="4.54296875" customWidth="1"/>
    <col min="9" max="9" width="7.7265625" customWidth="1"/>
  </cols>
  <sheetData>
    <row r="1" spans="4:9" ht="15" thickBot="1"/>
    <row r="2" spans="4:9" ht="15" thickBot="1">
      <c r="D2" s="55" t="s">
        <v>34</v>
      </c>
      <c r="E2" s="56"/>
      <c r="F2" s="56"/>
      <c r="G2" s="56"/>
      <c r="H2" s="56"/>
      <c r="I2" s="57"/>
    </row>
    <row r="3" spans="4:9">
      <c r="D3" s="23"/>
      <c r="E3" s="24"/>
      <c r="F3" s="24"/>
      <c r="G3" s="24"/>
      <c r="H3" s="24"/>
      <c r="I3" s="25"/>
    </row>
    <row r="4" spans="4:9">
      <c r="D4" s="26"/>
      <c r="E4" s="27" t="s">
        <v>26</v>
      </c>
      <c r="F4" s="35">
        <v>40562</v>
      </c>
      <c r="G4" s="27"/>
      <c r="H4" s="27"/>
      <c r="I4" s="28"/>
    </row>
    <row r="5" spans="4:9">
      <c r="D5" s="26"/>
      <c r="E5" s="27"/>
      <c r="F5" s="27"/>
      <c r="G5" s="27"/>
      <c r="H5" s="27"/>
      <c r="I5" s="28"/>
    </row>
    <row r="6" spans="4:9">
      <c r="D6" s="26"/>
      <c r="E6" s="27" t="s">
        <v>35</v>
      </c>
      <c r="F6" s="34">
        <v>6</v>
      </c>
      <c r="G6" s="27"/>
      <c r="H6" s="27"/>
      <c r="I6" s="28"/>
    </row>
    <row r="7" spans="4:9" ht="15" thickBot="1">
      <c r="D7" s="29"/>
      <c r="E7" s="30"/>
      <c r="F7" s="30"/>
      <c r="G7" s="30"/>
      <c r="H7" s="30"/>
      <c r="I7" s="31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BR20"/>
  <sheetViews>
    <sheetView workbookViewId="0">
      <pane xSplit="5" topLeftCell="F1" activePane="topRight" state="frozen"/>
      <selection pane="topRight" activeCell="I6" sqref="I6"/>
    </sheetView>
  </sheetViews>
  <sheetFormatPr defaultRowHeight="14.5" outlineLevelCol="1"/>
  <cols>
    <col min="1" max="1" width="3.7265625" customWidth="1"/>
    <col min="2" max="2" width="18.7265625" bestFit="1" customWidth="1"/>
    <col min="4" max="4" width="16.26953125" customWidth="1"/>
    <col min="5" max="5" width="4.81640625" customWidth="1"/>
    <col min="6" max="6" width="7.54296875" customWidth="1"/>
    <col min="7" max="7" width="2.7265625" customWidth="1" outlineLevel="1"/>
    <col min="8" max="8" width="5.26953125" customWidth="1" outlineLevel="1"/>
    <col min="9" max="9" width="16.1796875" customWidth="1" outlineLevel="1"/>
    <col min="10" max="10" width="4.81640625" customWidth="1" outlineLevel="1"/>
    <col min="11" max="11" width="7.453125" customWidth="1"/>
    <col min="12" max="12" width="2.7265625" customWidth="1" outlineLevel="1"/>
    <col min="13" max="13" width="5.26953125" customWidth="1" outlineLevel="1"/>
    <col min="14" max="14" width="18.1796875" customWidth="1" outlineLevel="1"/>
    <col min="15" max="15" width="4.81640625" customWidth="1" outlineLevel="1"/>
    <col min="16" max="16" width="7.453125" customWidth="1"/>
    <col min="17" max="17" width="2.7265625" customWidth="1" outlineLevel="1"/>
    <col min="18" max="18" width="5.453125" customWidth="1" outlineLevel="1"/>
    <col min="19" max="19" width="15.453125" customWidth="1" outlineLevel="1"/>
    <col min="20" max="20" width="4.81640625" customWidth="1" outlineLevel="1"/>
    <col min="21" max="21" width="7.26953125" customWidth="1"/>
    <col min="22" max="22" width="2.7265625" customWidth="1" outlineLevel="1"/>
    <col min="23" max="23" width="5.26953125" customWidth="1" outlineLevel="1"/>
    <col min="24" max="24" width="15.453125" customWidth="1" outlineLevel="1"/>
    <col min="25" max="25" width="4.81640625" customWidth="1" outlineLevel="1"/>
    <col min="26" max="26" width="7.453125" customWidth="1"/>
    <col min="27" max="27" width="2.7265625" customWidth="1" outlineLevel="1"/>
    <col min="28" max="28" width="5.453125" customWidth="1" outlineLevel="1"/>
    <col min="29" max="29" width="15.453125" customWidth="1" outlineLevel="1"/>
    <col min="30" max="30" width="5.26953125" customWidth="1" outlineLevel="1"/>
    <col min="31" max="31" width="7.7265625" customWidth="1"/>
    <col min="32" max="32" width="2.7265625" customWidth="1" outlineLevel="1"/>
    <col min="33" max="33" width="5.1796875" customWidth="1" outlineLevel="1"/>
    <col min="34" max="34" width="15.453125" customWidth="1" outlineLevel="1"/>
    <col min="35" max="35" width="4.81640625" customWidth="1" outlineLevel="1"/>
    <col min="36" max="36" width="4" customWidth="1"/>
  </cols>
  <sheetData>
    <row r="1" spans="1:70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8"/>
      <c r="BO1" s="68"/>
      <c r="BP1" s="68"/>
      <c r="BQ1" s="68"/>
      <c r="BR1" s="68"/>
    </row>
    <row r="2" spans="1:70" ht="15" thickBot="1">
      <c r="A2" s="68"/>
      <c r="E2" s="69"/>
      <c r="F2" s="70" t="str">
        <f>IF(ISERROR(IF(COUNTIF(H4:H14,"W")&lt;$C$9,ERROR.TYPE(10),(IF(COUNTIF(H4:H14,"Bt")&lt;$C$8,ERROR.TYPE(10),(IF(COUNTIF(H4:H14,"Bw")&lt;$C$10,ERROR.TYPE(10),(IF(COUNTIF(H4:H14,"All")&lt;$C$11,ERROR.TYPE(10),IF(J3&gt;$C$5,ERROR.TYPE(10),IF(COUNTIF(G4:G14,"&gt;&gt;")&gt;0,ERROR.TYPE(10),"")))))))))),"Error","")</f>
        <v/>
      </c>
      <c r="G2" s="108" t="str">
        <f>IF(COUNTIF(G4:G14,"&gt;&gt;")&gt;0,6,(IF(COUNTIF(H4:H14,"All")&lt;$C$11,4,(IF(COUNTIF(H4:H14,"Bw")&lt;$C$10,3,(IF(COUNTIF(H4:H14,"Bt")&lt;$C$8,2,(IF(COUNTIF(H4:H14,"W")&lt;$C$9,1,(IF(J3&gt;$C$5,5,"")))))))))))</f>
        <v/>
      </c>
      <c r="H2" s="71" t="str">
        <f>IF(G2=6,"Player repeated",(IF(G2=5,"Team cost exceeds limit",(IF(G2=4,"Allrounder count below minimum",(IF(G2=3,"Bowler count below minimum",(IF(G2=2,"Batsmen count below minimum",(IF(G2=1,"Wicketkeeper count below minimum","")))))))))))</f>
        <v/>
      </c>
      <c r="I2" s="71"/>
      <c r="J2" s="72"/>
      <c r="K2" s="70" t="str">
        <f>IF(ISERROR(IF(COUNTIF(M4:M14,"W")&lt;$C$9,ERROR.TYPE(10),(IF(COUNTIF(M4:M14,"Bt")&lt;$C$8,ERROR.TYPE(10),(IF(COUNTIF(M4:M14,"Bw")&lt;$C$10,ERROR.TYPE(10),(IF(COUNTIF(M4:M14,"All")&lt;$C$11,ERROR.TYPE(10),IF(O3&gt;$C$5,ERROR.TYPE(10),IF(COUNTIF(L4:L14,"&gt;&gt;")&gt;0,ERROR.TYPE(10),"")))))))))),"Error","")</f>
        <v/>
      </c>
      <c r="L2" s="108" t="str">
        <f>IF(COUNTIF(L4:L14,"&gt;&gt;")&gt;0,6,(IF(COUNTIF(M4:M14,"All")&lt;$C$11,4,(IF(COUNTIF(M4:M14,"Bw")&lt;$C$10,3,(IF(COUNTIF(M4:M14,"Bt")&lt;$C$8,2,(IF(COUNTIF(M4:M14,"W")&lt;$C$9,1,(IF(O3&gt;$C$5,5,"")))))))))))</f>
        <v/>
      </c>
      <c r="M2" s="71" t="str">
        <f>IF(L2=6,"Player repeated",(IF(L2=5,"Team cost exceeds limit",(IF(L2=4,"Allrounder count below minimum",(IF(L2=3,"Bowler count below minimum",(IF(L2=2,"Batsmen count below minimum",(IF(L2=1,"Wicketkeeper count below minimum","")))))))))))</f>
        <v/>
      </c>
      <c r="N2" s="71"/>
      <c r="O2" s="72"/>
      <c r="P2" s="70" t="str">
        <f>IF(ISERROR(IF(COUNTIF(R4:R14,"W")&lt;$C$9,ERROR.TYPE(10),(IF(COUNTIF(R4:R14,"Bt")&lt;$C$8,ERROR.TYPE(10),(IF(COUNTIF(R4:R14,"Bw")&lt;$C$10,ERROR.TYPE(10),(IF(COUNTIF(R4:R14,"All")&lt;$C$11,ERROR.TYPE(10),IF(T3&gt;$C$5,ERROR.TYPE(10),IF(COUNTIF(Q4:Q14,"&gt;&gt;")&gt;0,ERROR.TYPE(10),"")))))))))),"Error","")</f>
        <v/>
      </c>
      <c r="Q2" s="108" t="str">
        <f>IF(COUNTIF(Q4:Q14,"&gt;&gt;")&gt;0,6,(IF(COUNTIF(R4:R14,"All")&lt;$C$11,4,(IF(COUNTIF(R4:R14,"Bw")&lt;$C$10,3,(IF(COUNTIF(R4:R14,"Bt")&lt;$C$8,2,(IF(COUNTIF(R4:R14,"W")&lt;$C$9,1,(IF(T3&gt;$C$5,5,"")))))))))))</f>
        <v/>
      </c>
      <c r="R2" s="71" t="str">
        <f>IF(Q2=6,"Player repeated",(IF(Q2=5,"Team cost exceeds limit",(IF(Q2=4,"Allrounder count below minimum",(IF(Q2=3,"Bowler count below minimum",(IF(Q2=2,"Batsmen count below minimum",(IF(Q2=1,"Wicketkeeper count below minimum","")))))))))))</f>
        <v/>
      </c>
      <c r="S2" s="71"/>
      <c r="T2" s="72"/>
      <c r="U2" s="70" t="str">
        <f>IF(ISERROR(IF(COUNTIF(W4:W14,"W")&lt;$C$9,ERROR.TYPE(10),(IF(COUNTIF(W4:W14,"Bt")&lt;$C$8,ERROR.TYPE(10),(IF(COUNTIF(W4:W14,"Bw")&lt;$C$10,ERROR.TYPE(10),(IF(COUNTIF(W4:W14,"All")&lt;$C$11,ERROR.TYPE(10),IF(Y3&gt;$C$5,ERROR.TYPE(10),IF(COUNTIF(V4:V14,"&gt;&gt;")&gt;0,ERROR.TYPE(10),"")))))))))),"Error","")</f>
        <v/>
      </c>
      <c r="V2" s="108" t="str">
        <f>IF(COUNTIF(V4:V14,"&gt;&gt;")&gt;0,6,(IF(COUNTIF(W4:W14,"All")&lt;$C$11,4,(IF(COUNTIF(W4:W14,"Bw")&lt;$C$10,3,(IF(COUNTIF(W4:W14,"Bt")&lt;$C$8,2,(IF(COUNTIF(W4:W14,"W")&lt;$C$9,1,(IF(Y3&gt;$C$5,5,"")))))))))))</f>
        <v/>
      </c>
      <c r="W2" s="71" t="str">
        <f>IF(V2=6,"Player repeated",(IF(V2=5,"Team cost exceeds limit",(IF(V2=4,"Allrounder count below minimum",(IF(V2=3,"Bowler count below minimum",(IF(V2=2,"Batsmen count below minimum",(IF(V2=1,"Wicketkeeper count below minimum","")))))))))))</f>
        <v/>
      </c>
      <c r="X2" s="71"/>
      <c r="Y2" s="72"/>
      <c r="Z2" s="70" t="str">
        <f>IF(ISERROR(IF(COUNTIF(AB4:AB14,"W")&lt;$C$9,ERROR.TYPE(10),(IF(COUNTIF(AB4:AB14,"Bt")&lt;$C$8,ERROR.TYPE(10),(IF(COUNTIF(AB4:AB14,"Bw")&lt;$C$10,ERROR.TYPE(10),(IF(COUNTIF(AB4:AB14,"All")&lt;$C$11,ERROR.TYPE(10),IF(AD3&gt;$C$5,ERROR.TYPE(10),IF(COUNTIF(AA4:AA14,"&gt;&gt;")&gt;0,ERROR.TYPE(10),"")))))))))),"Error","")</f>
        <v/>
      </c>
      <c r="AA2" s="108" t="str">
        <f>IF(COUNTIF(AA4:AA14,"&gt;&gt;")&gt;0,6,(IF(COUNTIF(AB4:AB14,"All")&lt;$C$11,4,(IF(COUNTIF(AB4:AB14,"Bw")&lt;$C$10,3,(IF(COUNTIF(AB4:AB14,"Bt")&lt;$C$8,2,(IF(COUNTIF(AB4:AB14,"W")&lt;$C$9,1,(IF(AD3&gt;$C$5,5,"")))))))))))</f>
        <v/>
      </c>
      <c r="AB2" s="71" t="str">
        <f>IF(AA2=6,"Player repeated",(IF(AA2=5,"Team cost exceeds limit",(IF(AA2=4,"Allrounder count below minimum",(IF(AA2=3,"Bowler count below minimum",(IF(AA2=2,"Batsmen count below minimum",(IF(AA2=1,"Wicketkeeper count below minimum","")))))))))))</f>
        <v/>
      </c>
      <c r="AC2" s="71"/>
      <c r="AD2" s="72"/>
      <c r="AE2" s="70" t="str">
        <f>IF(ISERROR(IF(COUNTIF(AG4:AG14,"W")&lt;$C$9,ERROR.TYPE(10),(IF(COUNTIF(AG4:AG14,"Bt")&lt;$C$8,ERROR.TYPE(10),(IF(COUNTIF(AG4:AG14,"Bw")&lt;$C$10,ERROR.TYPE(10),(IF(COUNTIF(AG4:AG14,"All")&lt;$C$11,ERROR.TYPE(10),IF(AI3&gt;$C$5,ERROR.TYPE(10),IF(COUNTIF(AF4:AF14,"&gt;&gt;")&gt;0,ERROR.TYPE(10),"")))))))))),"Error","")</f>
        <v/>
      </c>
      <c r="AF2" s="108" t="str">
        <f>IF(COUNTIF(AF4:AF14,"&gt;&gt;")&gt;0,6,(IF(COUNTIF(AG4:AG14,"All")&lt;$C$11,4,(IF(COUNTIF(AG4:AG14,"Bw")&lt;$C$10,3,(IF(COUNTIF(AG4:AG14,"Bt")&lt;$C$8,2,(IF(COUNTIF(AG4:AG14,"W")&lt;$C$9,1,(IF(AI3&gt;$C$5,5,"")))))))))))</f>
        <v/>
      </c>
      <c r="AG2" s="71" t="str">
        <f>IF(AF2=6,"Player repeated",(IF(AF2=5,"Team cost exceeds limit",(IF(AF2=4,"Allrounder count below minimum",(IF(AF2=3,"Bowler count below minimum",(IF(AF2=2,"Batsmen count below minimum",(IF(AF2=1,"Wicketkeeper count below minimum","")))))))))))</f>
        <v/>
      </c>
      <c r="AH2" s="73"/>
      <c r="AI2" s="74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</row>
    <row r="3" spans="1:70" ht="15" customHeight="1">
      <c r="A3" s="68"/>
      <c r="B3" s="121" t="s">
        <v>17</v>
      </c>
      <c r="C3" s="122"/>
      <c r="D3" s="123"/>
      <c r="E3" s="78"/>
      <c r="F3" s="120" t="str">
        <f>I3</f>
        <v>Sandeep</v>
      </c>
      <c r="G3" s="79"/>
      <c r="H3" s="80"/>
      <c r="I3" s="81" t="s">
        <v>216</v>
      </c>
      <c r="J3" s="49">
        <f>SUM(J4:J14)</f>
        <v>124</v>
      </c>
      <c r="K3" s="120" t="str">
        <f>N3</f>
        <v>Sam</v>
      </c>
      <c r="L3" s="79"/>
      <c r="M3" s="80"/>
      <c r="N3" s="81" t="s">
        <v>217</v>
      </c>
      <c r="O3" s="49">
        <f>SUM(O4:O14)</f>
        <v>125</v>
      </c>
      <c r="P3" s="120" t="str">
        <f>S3</f>
        <v>Team3</v>
      </c>
      <c r="Q3" s="79"/>
      <c r="R3" s="80"/>
      <c r="S3" s="81" t="s">
        <v>83</v>
      </c>
      <c r="T3" s="49">
        <f>SUM(T4:T14)</f>
        <v>122</v>
      </c>
      <c r="U3" s="120" t="str">
        <f>X3</f>
        <v>Team4</v>
      </c>
      <c r="V3" s="79"/>
      <c r="W3" s="80"/>
      <c r="X3" s="81" t="s">
        <v>84</v>
      </c>
      <c r="Y3" s="49">
        <f>SUM(Y4:Y14)</f>
        <v>110</v>
      </c>
      <c r="Z3" s="120" t="str">
        <f>AC3</f>
        <v>Team5</v>
      </c>
      <c r="AA3" s="79"/>
      <c r="AB3" s="80"/>
      <c r="AC3" s="81" t="s">
        <v>85</v>
      </c>
      <c r="AD3" s="49">
        <f>SUM(AD4:AD14)</f>
        <v>112</v>
      </c>
      <c r="AE3" s="119" t="str">
        <f>AH3</f>
        <v>Team6</v>
      </c>
      <c r="AF3" s="79"/>
      <c r="AG3" s="80"/>
      <c r="AH3" s="81" t="s">
        <v>86</v>
      </c>
      <c r="AI3" s="49">
        <f>SUM(AI4:AI14)</f>
        <v>113</v>
      </c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8"/>
      <c r="BO3" s="68"/>
      <c r="BP3" s="68"/>
      <c r="BQ3" s="68"/>
      <c r="BR3" s="68"/>
    </row>
    <row r="4" spans="1:70">
      <c r="A4" s="68"/>
      <c r="B4" s="75" t="s">
        <v>38</v>
      </c>
      <c r="C4" s="76">
        <v>100</v>
      </c>
      <c r="D4" s="77" t="s">
        <v>39</v>
      </c>
      <c r="E4" s="69"/>
      <c r="F4" s="120"/>
      <c r="G4" s="83" t="str">
        <f>IF(MAX(COUNTIF(I$4:I$14,I4))&gt;1,"&gt;&gt;","")</f>
        <v/>
      </c>
      <c r="H4" s="4" t="str">
        <f t="shared" ref="H4:H14" si="0">IF(ISERROR(VLOOKUP(I4,Universal,3,FALSE)),"",VLOOKUP(I4,Universal,3,FALSE))</f>
        <v>Bt</v>
      </c>
      <c r="I4" s="84" t="s">
        <v>57</v>
      </c>
      <c r="J4" s="50">
        <f t="shared" ref="J4:J14" si="1">IF(ISERROR(VLOOKUP(I4,Universal,2,FALSE)),0,VLOOKUP(I4,Universal,2,FALSE))</f>
        <v>15</v>
      </c>
      <c r="K4" s="120"/>
      <c r="L4" s="83" t="str">
        <f>IF(MAX(COUNTIF(N$4:N$14,N4))&gt;1,"&gt;&gt;","")</f>
        <v/>
      </c>
      <c r="M4" s="4" t="str">
        <f t="shared" ref="M4:M14" si="2">IF(ISERROR(VLOOKUP(N4,Universal,3,FALSE)),"",VLOOKUP(N4,Universal,3,FALSE))</f>
        <v>Bt</v>
      </c>
      <c r="N4" s="84" t="s">
        <v>57</v>
      </c>
      <c r="O4" s="50">
        <f t="shared" ref="O4:O14" si="3">IF(ISERROR(VLOOKUP(N4,Universal,2,FALSE)),0,VLOOKUP(N4,Universal,2,FALSE))</f>
        <v>15</v>
      </c>
      <c r="P4" s="120"/>
      <c r="Q4" s="83" t="str">
        <f>IF(MAX(COUNTIF(S$4:S$14,S4))&gt;1,"&gt;&gt;","")</f>
        <v/>
      </c>
      <c r="R4" s="4" t="str">
        <f t="shared" ref="R4:R14" si="4">IF(ISERROR(VLOOKUP(S4,Universal,3,FALSE)),"",VLOOKUP(S4,Universal,3,FALSE))</f>
        <v>Bw</v>
      </c>
      <c r="S4" s="84" t="s">
        <v>78</v>
      </c>
      <c r="T4" s="50">
        <f t="shared" ref="T4:T14" si="5">IF(ISERROR(VLOOKUP(S4,Universal,2,FALSE)),0,VLOOKUP(S4,Universal,2,FALSE))</f>
        <v>15</v>
      </c>
      <c r="U4" s="120"/>
      <c r="V4" s="83" t="str">
        <f>IF(MAX(COUNTIF(X$4:X$14,X4))&gt;1,"&gt;&gt;","")</f>
        <v/>
      </c>
      <c r="W4" s="4" t="str">
        <f t="shared" ref="W4:W14" si="6">IF(ISERROR(VLOOKUP(X4,Universal,3,FALSE)),"",VLOOKUP(X4,Universal,3,FALSE))</f>
        <v>Bw</v>
      </c>
      <c r="X4" s="84" t="s">
        <v>68</v>
      </c>
      <c r="Y4" s="50">
        <f t="shared" ref="Y4:Y14" si="7">IF(ISERROR(VLOOKUP(X4,Universal,2,FALSE)),0,VLOOKUP(X4,Universal,2,FALSE))</f>
        <v>10</v>
      </c>
      <c r="Z4" s="120"/>
      <c r="AA4" s="83" t="str">
        <f>IF(MAX(COUNTIF(AC$4:AC$14,AC4))&gt;1,"&gt;&gt;","")</f>
        <v/>
      </c>
      <c r="AB4" s="4" t="str">
        <f t="shared" ref="AB4:AB14" si="8">IF(ISERROR(VLOOKUP(AC4,Universal,3,FALSE)),"",VLOOKUP(AC4,Universal,3,FALSE))</f>
        <v>Bt</v>
      </c>
      <c r="AC4" s="84" t="s">
        <v>74</v>
      </c>
      <c r="AD4" s="50">
        <f t="shared" ref="AD4:AD14" si="9">IF(ISERROR(VLOOKUP(AC4,Universal,2,FALSE)),0,VLOOKUP(AC4,Universal,2,FALSE))</f>
        <v>12</v>
      </c>
      <c r="AE4" s="119"/>
      <c r="AF4" s="83" t="str">
        <f>IF(MAX(COUNTIF(AH$4:AH$14,AH4))&gt;1,"&gt;&gt;","")</f>
        <v/>
      </c>
      <c r="AG4" s="4" t="str">
        <f t="shared" ref="AG4:AG14" si="10">IF(ISERROR(VLOOKUP(AH4,Universal,3,FALSE)),"",VLOOKUP(AH4,Universal,3,FALSE))</f>
        <v>Bw</v>
      </c>
      <c r="AH4" s="84" t="s">
        <v>77</v>
      </c>
      <c r="AI4" s="50">
        <f t="shared" ref="AI4:AI14" si="11">IF(ISERROR(VLOOKUP(AH4,Universal,2,FALSE)),0,VLOOKUP(AH4,Universal,2,FALSE))</f>
        <v>8</v>
      </c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  <c r="AY4" s="68"/>
      <c r="AZ4" s="68"/>
      <c r="BA4" s="68"/>
      <c r="BB4" s="68"/>
      <c r="BC4" s="68"/>
      <c r="BD4" s="68"/>
      <c r="BE4" s="68"/>
      <c r="BF4" s="68"/>
      <c r="BG4" s="68"/>
      <c r="BH4" s="68"/>
      <c r="BI4" s="68"/>
      <c r="BJ4" s="68"/>
      <c r="BK4" s="68"/>
      <c r="BL4" s="68"/>
      <c r="BM4" s="68"/>
      <c r="BN4" s="68"/>
      <c r="BO4" s="68"/>
      <c r="BP4" s="68"/>
      <c r="BQ4" s="68"/>
      <c r="BR4" s="68"/>
    </row>
    <row r="5" spans="1:70">
      <c r="A5" s="68"/>
      <c r="B5" s="82" t="s">
        <v>33</v>
      </c>
      <c r="C5" s="94">
        <v>125</v>
      </c>
      <c r="D5" s="95" t="s">
        <v>95</v>
      </c>
      <c r="E5" s="69"/>
      <c r="F5" s="120"/>
      <c r="G5" s="83" t="str">
        <f t="shared" ref="G5:G14" si="12">IF(MAX(COUNTIF(I$4:I$14,I5))&gt;1,"&gt;&gt;","")</f>
        <v/>
      </c>
      <c r="H5" s="4" t="str">
        <f t="shared" si="0"/>
        <v>Bt</v>
      </c>
      <c r="I5" s="84" t="s">
        <v>58</v>
      </c>
      <c r="J5" s="50">
        <f t="shared" si="1"/>
        <v>16</v>
      </c>
      <c r="K5" s="120"/>
      <c r="L5" s="83" t="str">
        <f t="shared" ref="L5:L14" si="13">IF(MAX(COUNTIF(N$4:N$14,N5))&gt;1,"&gt;&gt;","")</f>
        <v/>
      </c>
      <c r="M5" s="4" t="str">
        <f t="shared" si="2"/>
        <v>Bt</v>
      </c>
      <c r="N5" s="84" t="s">
        <v>58</v>
      </c>
      <c r="O5" s="50">
        <f t="shared" si="3"/>
        <v>16</v>
      </c>
      <c r="P5" s="120"/>
      <c r="Q5" s="83" t="str">
        <f t="shared" ref="Q5:Q14" si="14">IF(MAX(COUNTIF(S$4:S$14,S5))&gt;1,"&gt;&gt;","")</f>
        <v/>
      </c>
      <c r="R5" s="4" t="str">
        <f t="shared" si="4"/>
        <v>Bt</v>
      </c>
      <c r="S5" s="84" t="s">
        <v>59</v>
      </c>
      <c r="T5" s="50">
        <f t="shared" si="5"/>
        <v>10</v>
      </c>
      <c r="U5" s="120"/>
      <c r="V5" s="83" t="str">
        <f t="shared" ref="V5:V14" si="15">IF(MAX(COUNTIF(X$4:X$14,X5))&gt;1,"&gt;&gt;","")</f>
        <v/>
      </c>
      <c r="W5" s="4" t="str">
        <f t="shared" si="6"/>
        <v>W</v>
      </c>
      <c r="X5" s="84" t="s">
        <v>62</v>
      </c>
      <c r="Y5" s="50">
        <f t="shared" si="7"/>
        <v>17</v>
      </c>
      <c r="Z5" s="120"/>
      <c r="AA5" s="83" t="str">
        <f t="shared" ref="AA5:AA14" si="16">IF(MAX(COUNTIF(AC$4:AC$14,AC5))&gt;1,"&gt;&gt;","")</f>
        <v/>
      </c>
      <c r="AB5" s="4" t="str">
        <f t="shared" si="8"/>
        <v>Bw</v>
      </c>
      <c r="AC5" s="84" t="s">
        <v>64</v>
      </c>
      <c r="AD5" s="50">
        <f t="shared" si="9"/>
        <v>5</v>
      </c>
      <c r="AE5" s="119"/>
      <c r="AF5" s="83" t="str">
        <f t="shared" ref="AF5:AF14" si="17">IF(MAX(COUNTIF(AH$4:AH$14,AH5))&gt;1,"&gt;&gt;","")</f>
        <v/>
      </c>
      <c r="AG5" s="4" t="str">
        <f t="shared" si="10"/>
        <v>All</v>
      </c>
      <c r="AH5" s="84" t="s">
        <v>63</v>
      </c>
      <c r="AI5" s="50">
        <f t="shared" si="11"/>
        <v>15</v>
      </c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</row>
    <row r="6" spans="1:70">
      <c r="A6" s="68"/>
      <c r="B6" s="124" t="s">
        <v>50</v>
      </c>
      <c r="C6" s="125"/>
      <c r="D6" s="126"/>
      <c r="E6" s="69"/>
      <c r="F6" s="120"/>
      <c r="G6" s="83" t="str">
        <f t="shared" si="12"/>
        <v/>
      </c>
      <c r="H6" s="4" t="str">
        <f t="shared" si="0"/>
        <v>Bw</v>
      </c>
      <c r="I6" s="84" t="s">
        <v>80</v>
      </c>
      <c r="J6" s="50">
        <f t="shared" si="1"/>
        <v>9</v>
      </c>
      <c r="K6" s="120"/>
      <c r="L6" s="83" t="str">
        <f t="shared" si="13"/>
        <v/>
      </c>
      <c r="M6" s="4" t="str">
        <f t="shared" si="2"/>
        <v>Bt</v>
      </c>
      <c r="N6" s="84" t="s">
        <v>60</v>
      </c>
      <c r="O6" s="50">
        <f t="shared" si="3"/>
        <v>8</v>
      </c>
      <c r="P6" s="120"/>
      <c r="Q6" s="83" t="str">
        <f t="shared" si="14"/>
        <v/>
      </c>
      <c r="R6" s="4" t="str">
        <f t="shared" si="4"/>
        <v>Bt</v>
      </c>
      <c r="S6" s="84" t="s">
        <v>74</v>
      </c>
      <c r="T6" s="50">
        <f t="shared" si="5"/>
        <v>12</v>
      </c>
      <c r="U6" s="120"/>
      <c r="V6" s="83" t="str">
        <f t="shared" si="15"/>
        <v/>
      </c>
      <c r="W6" s="4" t="str">
        <f t="shared" si="6"/>
        <v>Bt</v>
      </c>
      <c r="X6" s="84" t="s">
        <v>57</v>
      </c>
      <c r="Y6" s="50">
        <f t="shared" si="7"/>
        <v>15</v>
      </c>
      <c r="Z6" s="120"/>
      <c r="AA6" s="83" t="str">
        <f t="shared" si="16"/>
        <v/>
      </c>
      <c r="AB6" s="4" t="str">
        <f t="shared" si="8"/>
        <v>All</v>
      </c>
      <c r="AC6" s="84" t="s">
        <v>63</v>
      </c>
      <c r="AD6" s="50">
        <f t="shared" si="9"/>
        <v>15</v>
      </c>
      <c r="AE6" s="119"/>
      <c r="AF6" s="83" t="str">
        <f t="shared" si="17"/>
        <v/>
      </c>
      <c r="AG6" s="4" t="str">
        <f t="shared" si="10"/>
        <v>Bt</v>
      </c>
      <c r="AH6" s="84" t="s">
        <v>58</v>
      </c>
      <c r="AI6" s="50">
        <f t="shared" si="11"/>
        <v>16</v>
      </c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8"/>
      <c r="BF6" s="68"/>
      <c r="BG6" s="68"/>
      <c r="BH6" s="68"/>
      <c r="BI6" s="68"/>
      <c r="BJ6" s="68"/>
      <c r="BK6" s="68"/>
      <c r="BL6" s="68"/>
      <c r="BM6" s="68"/>
      <c r="BN6" s="68"/>
      <c r="BO6" s="68"/>
      <c r="BP6" s="68"/>
      <c r="BQ6" s="68"/>
      <c r="BR6" s="68"/>
    </row>
    <row r="7" spans="1:70">
      <c r="A7" s="68"/>
      <c r="B7" s="85" t="s">
        <v>43</v>
      </c>
      <c r="C7" s="127" t="s">
        <v>51</v>
      </c>
      <c r="D7" s="128"/>
      <c r="E7" s="69"/>
      <c r="F7" s="120"/>
      <c r="G7" s="83" t="str">
        <f t="shared" si="12"/>
        <v/>
      </c>
      <c r="H7" s="4" t="str">
        <f t="shared" si="0"/>
        <v>Bt</v>
      </c>
      <c r="I7" s="84" t="s">
        <v>60</v>
      </c>
      <c r="J7" s="50">
        <f t="shared" si="1"/>
        <v>8</v>
      </c>
      <c r="K7" s="120"/>
      <c r="L7" s="83" t="str">
        <f t="shared" si="13"/>
        <v/>
      </c>
      <c r="M7" s="4" t="str">
        <f t="shared" si="2"/>
        <v>Bt</v>
      </c>
      <c r="N7" s="84" t="s">
        <v>198</v>
      </c>
      <c r="O7" s="50">
        <f t="shared" si="3"/>
        <v>12</v>
      </c>
      <c r="P7" s="120"/>
      <c r="Q7" s="83" t="str">
        <f t="shared" si="14"/>
        <v/>
      </c>
      <c r="R7" s="4" t="str">
        <f t="shared" si="4"/>
        <v>Bw</v>
      </c>
      <c r="S7" s="84" t="s">
        <v>67</v>
      </c>
      <c r="T7" s="50">
        <f t="shared" si="5"/>
        <v>14</v>
      </c>
      <c r="U7" s="120"/>
      <c r="V7" s="83" t="str">
        <f t="shared" si="15"/>
        <v/>
      </c>
      <c r="W7" s="4" t="str">
        <f t="shared" si="6"/>
        <v>Bt</v>
      </c>
      <c r="X7" s="84" t="s">
        <v>54</v>
      </c>
      <c r="Y7" s="50">
        <f t="shared" si="7"/>
        <v>8</v>
      </c>
      <c r="Z7" s="120"/>
      <c r="AA7" s="83" t="str">
        <f t="shared" si="16"/>
        <v/>
      </c>
      <c r="AB7" s="4" t="str">
        <f t="shared" si="8"/>
        <v>Bw</v>
      </c>
      <c r="AC7" s="84" t="s">
        <v>78</v>
      </c>
      <c r="AD7" s="50">
        <f t="shared" si="9"/>
        <v>15</v>
      </c>
      <c r="AE7" s="119"/>
      <c r="AF7" s="83" t="str">
        <f t="shared" si="17"/>
        <v/>
      </c>
      <c r="AG7" s="4" t="str">
        <f t="shared" si="10"/>
        <v>Bt</v>
      </c>
      <c r="AH7" s="84" t="s">
        <v>70</v>
      </c>
      <c r="AI7" s="50">
        <f t="shared" si="11"/>
        <v>12</v>
      </c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  <c r="AW7" s="68"/>
      <c r="AX7" s="68"/>
      <c r="AY7" s="68"/>
      <c r="AZ7" s="68"/>
      <c r="BA7" s="68"/>
      <c r="BB7" s="68"/>
      <c r="BC7" s="68"/>
      <c r="BD7" s="68"/>
      <c r="BE7" s="68"/>
      <c r="BF7" s="68"/>
      <c r="BG7" s="68"/>
      <c r="BH7" s="68"/>
      <c r="BI7" s="68"/>
      <c r="BJ7" s="68"/>
      <c r="BK7" s="68"/>
      <c r="BL7" s="68"/>
      <c r="BM7" s="68"/>
      <c r="BN7" s="68"/>
      <c r="BO7" s="68"/>
      <c r="BP7" s="68"/>
      <c r="BQ7" s="68"/>
      <c r="BR7" s="68"/>
    </row>
    <row r="8" spans="1:70">
      <c r="A8" s="68"/>
      <c r="B8" s="82" t="s">
        <v>46</v>
      </c>
      <c r="C8" s="129">
        <v>4</v>
      </c>
      <c r="D8" s="130"/>
      <c r="E8" s="69"/>
      <c r="F8" s="120"/>
      <c r="G8" s="83" t="str">
        <f t="shared" si="12"/>
        <v/>
      </c>
      <c r="H8" s="4" t="str">
        <f t="shared" si="0"/>
        <v>Bt</v>
      </c>
      <c r="I8" s="84" t="s">
        <v>81</v>
      </c>
      <c r="J8" s="50">
        <f t="shared" si="1"/>
        <v>9</v>
      </c>
      <c r="K8" s="120"/>
      <c r="L8" s="83" t="str">
        <f t="shared" si="13"/>
        <v/>
      </c>
      <c r="M8" s="4" t="str">
        <f t="shared" si="2"/>
        <v>W</v>
      </c>
      <c r="N8" s="84" t="s">
        <v>62</v>
      </c>
      <c r="O8" s="50">
        <f t="shared" si="3"/>
        <v>17</v>
      </c>
      <c r="P8" s="120"/>
      <c r="Q8" s="83" t="str">
        <f t="shared" si="14"/>
        <v/>
      </c>
      <c r="R8" s="4" t="str">
        <f t="shared" si="4"/>
        <v>W</v>
      </c>
      <c r="S8" s="84" t="s">
        <v>62</v>
      </c>
      <c r="T8" s="50">
        <f t="shared" si="5"/>
        <v>17</v>
      </c>
      <c r="U8" s="120"/>
      <c r="V8" s="83" t="str">
        <f t="shared" si="15"/>
        <v/>
      </c>
      <c r="W8" s="4" t="str">
        <f t="shared" si="6"/>
        <v>W</v>
      </c>
      <c r="X8" s="84" t="s">
        <v>55</v>
      </c>
      <c r="Y8" s="50">
        <f t="shared" si="7"/>
        <v>10</v>
      </c>
      <c r="Z8" s="120"/>
      <c r="AA8" s="83" t="str">
        <f t="shared" si="16"/>
        <v/>
      </c>
      <c r="AB8" s="4" t="str">
        <f t="shared" si="8"/>
        <v>W</v>
      </c>
      <c r="AC8" s="84" t="s">
        <v>55</v>
      </c>
      <c r="AD8" s="50">
        <f t="shared" si="9"/>
        <v>10</v>
      </c>
      <c r="AE8" s="119"/>
      <c r="AF8" s="83" t="str">
        <f t="shared" si="17"/>
        <v/>
      </c>
      <c r="AG8" s="4" t="str">
        <f t="shared" si="10"/>
        <v>W</v>
      </c>
      <c r="AH8" s="84" t="s">
        <v>55</v>
      </c>
      <c r="AI8" s="50">
        <f t="shared" si="11"/>
        <v>10</v>
      </c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68"/>
      <c r="BN8" s="68"/>
      <c r="BO8" s="68"/>
      <c r="BP8" s="68"/>
      <c r="BQ8" s="68"/>
      <c r="BR8" s="68"/>
    </row>
    <row r="9" spans="1:70">
      <c r="A9" s="68"/>
      <c r="B9" s="86" t="s">
        <v>47</v>
      </c>
      <c r="C9" s="129">
        <v>1</v>
      </c>
      <c r="D9" s="130"/>
      <c r="E9" s="69"/>
      <c r="F9" s="120"/>
      <c r="G9" s="83" t="str">
        <f t="shared" si="12"/>
        <v/>
      </c>
      <c r="H9" s="4" t="str">
        <f t="shared" si="0"/>
        <v>W</v>
      </c>
      <c r="I9" s="84" t="s">
        <v>62</v>
      </c>
      <c r="J9" s="50">
        <f t="shared" si="1"/>
        <v>17</v>
      </c>
      <c r="K9" s="120"/>
      <c r="L9" s="83" t="str">
        <f t="shared" si="13"/>
        <v/>
      </c>
      <c r="M9" s="4" t="str">
        <f t="shared" si="2"/>
        <v>All</v>
      </c>
      <c r="N9" s="84" t="s">
        <v>65</v>
      </c>
      <c r="O9" s="50">
        <f t="shared" si="3"/>
        <v>8</v>
      </c>
      <c r="P9" s="120"/>
      <c r="Q9" s="83" t="str">
        <f t="shared" si="14"/>
        <v/>
      </c>
      <c r="R9" s="4" t="str">
        <f t="shared" si="4"/>
        <v>Bw</v>
      </c>
      <c r="S9" s="84" t="s">
        <v>77</v>
      </c>
      <c r="T9" s="50">
        <f t="shared" si="5"/>
        <v>8</v>
      </c>
      <c r="U9" s="120"/>
      <c r="V9" s="83" t="str">
        <f t="shared" si="15"/>
        <v/>
      </c>
      <c r="W9" s="4" t="str">
        <f t="shared" si="6"/>
        <v>Bt</v>
      </c>
      <c r="X9" s="84" t="s">
        <v>59</v>
      </c>
      <c r="Y9" s="50">
        <f t="shared" si="7"/>
        <v>10</v>
      </c>
      <c r="Z9" s="120"/>
      <c r="AA9" s="83" t="str">
        <f t="shared" si="16"/>
        <v/>
      </c>
      <c r="AB9" s="4" t="str">
        <f t="shared" si="8"/>
        <v>Bt</v>
      </c>
      <c r="AC9" s="84" t="s">
        <v>73</v>
      </c>
      <c r="AD9" s="50">
        <f t="shared" si="9"/>
        <v>15</v>
      </c>
      <c r="AE9" s="119"/>
      <c r="AF9" s="83" t="str">
        <f t="shared" si="17"/>
        <v/>
      </c>
      <c r="AG9" s="4" t="str">
        <f t="shared" si="10"/>
        <v>Bw</v>
      </c>
      <c r="AH9" s="84" t="s">
        <v>76</v>
      </c>
      <c r="AI9" s="50">
        <f t="shared" si="11"/>
        <v>12</v>
      </c>
      <c r="AJ9" s="68"/>
      <c r="AK9" s="68"/>
      <c r="AL9" s="68"/>
      <c r="AM9" s="68"/>
      <c r="AN9" s="68"/>
      <c r="AO9" s="68"/>
      <c r="AP9" s="68"/>
      <c r="AQ9" s="68"/>
      <c r="AR9" s="68"/>
      <c r="AS9" s="68"/>
      <c r="AT9" s="68"/>
      <c r="AU9" s="68"/>
      <c r="AV9" s="68"/>
      <c r="AW9" s="68"/>
      <c r="AX9" s="68"/>
      <c r="AY9" s="68"/>
      <c r="AZ9" s="68"/>
      <c r="BA9" s="68"/>
      <c r="BB9" s="68"/>
      <c r="BC9" s="68"/>
      <c r="BD9" s="68"/>
      <c r="BE9" s="68"/>
      <c r="BF9" s="68"/>
      <c r="BG9" s="68"/>
      <c r="BH9" s="68"/>
      <c r="BI9" s="68"/>
      <c r="BJ9" s="68"/>
      <c r="BK9" s="68"/>
      <c r="BL9" s="68"/>
      <c r="BM9" s="68"/>
      <c r="BN9" s="68"/>
      <c r="BO9" s="68"/>
      <c r="BP9" s="68"/>
      <c r="BQ9" s="68"/>
      <c r="BR9" s="68"/>
    </row>
    <row r="10" spans="1:70">
      <c r="A10" s="68"/>
      <c r="B10" s="86" t="s">
        <v>48</v>
      </c>
      <c r="C10" s="129">
        <v>3</v>
      </c>
      <c r="D10" s="130"/>
      <c r="E10" s="69"/>
      <c r="F10" s="120"/>
      <c r="G10" s="83" t="str">
        <f t="shared" si="12"/>
        <v/>
      </c>
      <c r="H10" s="4" t="str">
        <f t="shared" si="0"/>
        <v>All</v>
      </c>
      <c r="I10" s="84" t="s">
        <v>63</v>
      </c>
      <c r="J10" s="50">
        <f t="shared" si="1"/>
        <v>15</v>
      </c>
      <c r="K10" s="120"/>
      <c r="L10" s="83" t="str">
        <f t="shared" si="13"/>
        <v/>
      </c>
      <c r="M10" s="4" t="str">
        <f t="shared" si="2"/>
        <v>Bt</v>
      </c>
      <c r="N10" s="84" t="s">
        <v>61</v>
      </c>
      <c r="O10" s="50">
        <f t="shared" si="3"/>
        <v>7</v>
      </c>
      <c r="P10" s="120"/>
      <c r="Q10" s="83" t="str">
        <f t="shared" si="14"/>
        <v/>
      </c>
      <c r="R10" s="4" t="str">
        <f t="shared" si="4"/>
        <v>Bt</v>
      </c>
      <c r="S10" s="84" t="s">
        <v>60</v>
      </c>
      <c r="T10" s="50">
        <f t="shared" si="5"/>
        <v>8</v>
      </c>
      <c r="U10" s="120"/>
      <c r="V10" s="83" t="str">
        <f t="shared" si="15"/>
        <v/>
      </c>
      <c r="W10" s="4" t="str">
        <f t="shared" si="6"/>
        <v>Bt</v>
      </c>
      <c r="X10" s="84" t="s">
        <v>60</v>
      </c>
      <c r="Y10" s="50">
        <f t="shared" si="7"/>
        <v>8</v>
      </c>
      <c r="Z10" s="120"/>
      <c r="AA10" s="83" t="str">
        <f t="shared" si="16"/>
        <v/>
      </c>
      <c r="AB10" s="4" t="str">
        <f t="shared" si="8"/>
        <v>Bt</v>
      </c>
      <c r="AC10" s="84" t="s">
        <v>60</v>
      </c>
      <c r="AD10" s="50">
        <f t="shared" si="9"/>
        <v>8</v>
      </c>
      <c r="AE10" s="119"/>
      <c r="AF10" s="83" t="str">
        <f t="shared" si="17"/>
        <v/>
      </c>
      <c r="AG10" s="4" t="str">
        <f t="shared" si="10"/>
        <v>Bt</v>
      </c>
      <c r="AH10" s="84" t="s">
        <v>60</v>
      </c>
      <c r="AI10" s="50">
        <f t="shared" si="11"/>
        <v>8</v>
      </c>
      <c r="AJ10" s="68"/>
      <c r="AK10" s="68"/>
      <c r="AL10" s="68"/>
      <c r="AM10" s="68"/>
      <c r="AN10" s="68"/>
      <c r="AO10" s="68"/>
      <c r="AP10" s="68"/>
      <c r="AQ10" s="68"/>
      <c r="AR10" s="68"/>
      <c r="AS10" s="68"/>
      <c r="AT10" s="68"/>
      <c r="AU10" s="68"/>
      <c r="AV10" s="68"/>
      <c r="AW10" s="68"/>
      <c r="AX10" s="68"/>
      <c r="AY10" s="68"/>
      <c r="AZ10" s="68"/>
      <c r="BA10" s="68"/>
      <c r="BB10" s="68"/>
      <c r="BC10" s="68"/>
      <c r="BD10" s="68"/>
      <c r="BE10" s="68"/>
      <c r="BF10" s="68"/>
      <c r="BG10" s="68"/>
      <c r="BH10" s="68"/>
      <c r="BI10" s="68"/>
      <c r="BJ10" s="68"/>
      <c r="BK10" s="68"/>
      <c r="BL10" s="68"/>
      <c r="BM10" s="68"/>
      <c r="BN10" s="68"/>
      <c r="BO10" s="68"/>
      <c r="BP10" s="68"/>
      <c r="BQ10" s="68"/>
      <c r="BR10" s="68"/>
    </row>
    <row r="11" spans="1:70" ht="15" thickBot="1">
      <c r="A11" s="68"/>
      <c r="B11" s="87" t="s">
        <v>49</v>
      </c>
      <c r="C11" s="129">
        <v>1</v>
      </c>
      <c r="D11" s="130"/>
      <c r="E11" s="68"/>
      <c r="F11" s="120"/>
      <c r="G11" s="83" t="str">
        <f t="shared" si="12"/>
        <v/>
      </c>
      <c r="H11" s="4" t="str">
        <f t="shared" si="0"/>
        <v>Bw</v>
      </c>
      <c r="I11" s="84" t="s">
        <v>68</v>
      </c>
      <c r="J11" s="50">
        <f t="shared" si="1"/>
        <v>10</v>
      </c>
      <c r="K11" s="120"/>
      <c r="L11" s="83" t="str">
        <f t="shared" si="13"/>
        <v/>
      </c>
      <c r="M11" s="4" t="str">
        <f t="shared" si="2"/>
        <v>Bw</v>
      </c>
      <c r="N11" s="84" t="s">
        <v>66</v>
      </c>
      <c r="O11" s="50">
        <f t="shared" si="3"/>
        <v>6</v>
      </c>
      <c r="P11" s="120"/>
      <c r="Q11" s="83" t="str">
        <f t="shared" si="14"/>
        <v/>
      </c>
      <c r="R11" s="4" t="str">
        <f t="shared" si="4"/>
        <v>All</v>
      </c>
      <c r="S11" s="84" t="s">
        <v>63</v>
      </c>
      <c r="T11" s="50">
        <f t="shared" si="5"/>
        <v>15</v>
      </c>
      <c r="U11" s="120"/>
      <c r="V11" s="83" t="str">
        <f t="shared" si="15"/>
        <v/>
      </c>
      <c r="W11" s="4" t="str">
        <f t="shared" si="6"/>
        <v>Bt</v>
      </c>
      <c r="X11" s="84" t="s">
        <v>61</v>
      </c>
      <c r="Y11" s="50">
        <f t="shared" si="7"/>
        <v>7</v>
      </c>
      <c r="Z11" s="120"/>
      <c r="AA11" s="83" t="str">
        <f t="shared" si="16"/>
        <v/>
      </c>
      <c r="AB11" s="4" t="str">
        <f t="shared" si="8"/>
        <v>Bt</v>
      </c>
      <c r="AC11" s="84" t="s">
        <v>61</v>
      </c>
      <c r="AD11" s="50">
        <f t="shared" si="9"/>
        <v>7</v>
      </c>
      <c r="AE11" s="119"/>
      <c r="AF11" s="83" t="str">
        <f t="shared" si="17"/>
        <v/>
      </c>
      <c r="AG11" s="4" t="str">
        <f t="shared" si="10"/>
        <v>Bt</v>
      </c>
      <c r="AH11" s="84" t="s">
        <v>61</v>
      </c>
      <c r="AI11" s="50">
        <f t="shared" si="11"/>
        <v>7</v>
      </c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68"/>
      <c r="BP11" s="68"/>
      <c r="BQ11" s="68"/>
      <c r="BR11" s="68"/>
    </row>
    <row r="12" spans="1:70">
      <c r="A12" s="68"/>
      <c r="B12" s="68"/>
      <c r="C12" s="68"/>
      <c r="D12" s="68"/>
      <c r="E12" s="68"/>
      <c r="F12" s="120"/>
      <c r="G12" s="83" t="str">
        <f t="shared" si="12"/>
        <v/>
      </c>
      <c r="H12" s="4" t="str">
        <f t="shared" si="0"/>
        <v>Bw</v>
      </c>
      <c r="I12" s="84" t="s">
        <v>67</v>
      </c>
      <c r="J12" s="50">
        <f t="shared" si="1"/>
        <v>14</v>
      </c>
      <c r="K12" s="120"/>
      <c r="L12" s="83" t="str">
        <f t="shared" si="13"/>
        <v/>
      </c>
      <c r="M12" s="4" t="str">
        <f t="shared" si="2"/>
        <v>Bw</v>
      </c>
      <c r="N12" s="84" t="s">
        <v>67</v>
      </c>
      <c r="O12" s="50">
        <f t="shared" si="3"/>
        <v>14</v>
      </c>
      <c r="P12" s="120"/>
      <c r="Q12" s="83" t="str">
        <f t="shared" si="14"/>
        <v/>
      </c>
      <c r="R12" s="4" t="str">
        <f t="shared" si="4"/>
        <v>Bt</v>
      </c>
      <c r="S12" s="84" t="s">
        <v>70</v>
      </c>
      <c r="T12" s="50">
        <f t="shared" si="5"/>
        <v>12</v>
      </c>
      <c r="U12" s="120"/>
      <c r="V12" s="83" t="str">
        <f t="shared" si="15"/>
        <v/>
      </c>
      <c r="W12" s="4" t="str">
        <f t="shared" si="6"/>
        <v>Bw</v>
      </c>
      <c r="X12" s="84" t="s">
        <v>67</v>
      </c>
      <c r="Y12" s="50">
        <f t="shared" si="7"/>
        <v>14</v>
      </c>
      <c r="Z12" s="120"/>
      <c r="AA12" s="83" t="str">
        <f t="shared" si="16"/>
        <v/>
      </c>
      <c r="AB12" s="4" t="str">
        <f t="shared" si="8"/>
        <v>Bw</v>
      </c>
      <c r="AC12" s="84" t="s">
        <v>67</v>
      </c>
      <c r="AD12" s="50">
        <f t="shared" si="9"/>
        <v>14</v>
      </c>
      <c r="AE12" s="119"/>
      <c r="AF12" s="83" t="str">
        <f t="shared" si="17"/>
        <v/>
      </c>
      <c r="AG12" s="4" t="str">
        <f t="shared" si="10"/>
        <v>Bw</v>
      </c>
      <c r="AH12" s="84" t="s">
        <v>67</v>
      </c>
      <c r="AI12" s="50">
        <f t="shared" si="11"/>
        <v>14</v>
      </c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8"/>
      <c r="BL12" s="68"/>
      <c r="BM12" s="68"/>
      <c r="BN12" s="68"/>
      <c r="BO12" s="68"/>
      <c r="BP12" s="68"/>
      <c r="BQ12" s="68"/>
      <c r="BR12" s="68"/>
    </row>
    <row r="13" spans="1:70">
      <c r="A13" s="68"/>
      <c r="B13" s="68"/>
      <c r="C13" s="68"/>
      <c r="D13" s="68"/>
      <c r="E13" s="68"/>
      <c r="F13" s="120"/>
      <c r="G13" s="83" t="str">
        <f t="shared" si="12"/>
        <v/>
      </c>
      <c r="H13" s="4" t="str">
        <f t="shared" si="0"/>
        <v>Bw</v>
      </c>
      <c r="I13" s="84" t="s">
        <v>212</v>
      </c>
      <c r="J13" s="50">
        <f t="shared" si="1"/>
        <v>6</v>
      </c>
      <c r="K13" s="120"/>
      <c r="L13" s="83" t="str">
        <f t="shared" si="13"/>
        <v/>
      </c>
      <c r="M13" s="4" t="str">
        <f t="shared" si="2"/>
        <v>Bw</v>
      </c>
      <c r="N13" s="84" t="s">
        <v>68</v>
      </c>
      <c r="O13" s="50">
        <f t="shared" si="3"/>
        <v>10</v>
      </c>
      <c r="P13" s="120"/>
      <c r="Q13" s="83" t="str">
        <f t="shared" si="14"/>
        <v/>
      </c>
      <c r="R13" s="4" t="str">
        <f t="shared" si="4"/>
        <v>All</v>
      </c>
      <c r="S13" s="84" t="s">
        <v>52</v>
      </c>
      <c r="T13" s="50">
        <f t="shared" si="5"/>
        <v>6</v>
      </c>
      <c r="U13" s="120"/>
      <c r="V13" s="83" t="str">
        <f t="shared" si="15"/>
        <v/>
      </c>
      <c r="W13" s="4" t="str">
        <f t="shared" si="6"/>
        <v>All</v>
      </c>
      <c r="X13" s="84" t="s">
        <v>52</v>
      </c>
      <c r="Y13" s="50">
        <f t="shared" si="7"/>
        <v>6</v>
      </c>
      <c r="Z13" s="120"/>
      <c r="AA13" s="83" t="str">
        <f t="shared" si="16"/>
        <v/>
      </c>
      <c r="AB13" s="4" t="str">
        <f t="shared" si="8"/>
        <v>All</v>
      </c>
      <c r="AC13" s="84" t="s">
        <v>52</v>
      </c>
      <c r="AD13" s="50">
        <f t="shared" si="9"/>
        <v>6</v>
      </c>
      <c r="AE13" s="119"/>
      <c r="AF13" s="83" t="str">
        <f t="shared" si="17"/>
        <v/>
      </c>
      <c r="AG13" s="4" t="str">
        <f t="shared" si="10"/>
        <v>All</v>
      </c>
      <c r="AH13" s="84" t="s">
        <v>52</v>
      </c>
      <c r="AI13" s="50">
        <f t="shared" si="11"/>
        <v>6</v>
      </c>
      <c r="AJ13" s="68"/>
      <c r="AK13" s="68"/>
      <c r="AL13" s="68"/>
      <c r="AM13" s="68"/>
      <c r="AN13" s="68"/>
      <c r="AO13" s="68"/>
      <c r="AP13" s="68"/>
      <c r="AQ13" s="68"/>
      <c r="AR13" s="68"/>
      <c r="AS13" s="68"/>
      <c r="AT13" s="68"/>
      <c r="AU13" s="68"/>
      <c r="AV13" s="68"/>
      <c r="AW13" s="68"/>
      <c r="AX13" s="68"/>
      <c r="AY13" s="68"/>
      <c r="AZ13" s="68"/>
      <c r="BA13" s="68"/>
      <c r="BB13" s="68"/>
      <c r="BC13" s="68"/>
      <c r="BD13" s="68"/>
      <c r="BE13" s="68"/>
      <c r="BF13" s="68"/>
      <c r="BG13" s="68"/>
      <c r="BH13" s="68"/>
      <c r="BI13" s="68"/>
      <c r="BJ13" s="68"/>
      <c r="BK13" s="68"/>
      <c r="BL13" s="68"/>
      <c r="BM13" s="68"/>
      <c r="BN13" s="68"/>
      <c r="BO13" s="68"/>
      <c r="BP13" s="68"/>
      <c r="BQ13" s="68"/>
      <c r="BR13" s="68"/>
    </row>
    <row r="14" spans="1:70" ht="15" thickBot="1">
      <c r="A14" s="68"/>
      <c r="B14" s="68"/>
      <c r="C14" s="68"/>
      <c r="D14" s="68"/>
      <c r="E14" s="68"/>
      <c r="F14" s="120"/>
      <c r="G14" s="88" t="str">
        <f t="shared" si="12"/>
        <v/>
      </c>
      <c r="H14" s="54" t="str">
        <f t="shared" si="0"/>
        <v>Bw</v>
      </c>
      <c r="I14" s="89" t="s">
        <v>64</v>
      </c>
      <c r="J14" s="51">
        <f t="shared" si="1"/>
        <v>5</v>
      </c>
      <c r="K14" s="120"/>
      <c r="L14" s="88" t="str">
        <f t="shared" si="13"/>
        <v/>
      </c>
      <c r="M14" s="54" t="str">
        <f t="shared" si="2"/>
        <v>All</v>
      </c>
      <c r="N14" s="89" t="s">
        <v>176</v>
      </c>
      <c r="O14" s="51">
        <f t="shared" si="3"/>
        <v>12</v>
      </c>
      <c r="P14" s="120"/>
      <c r="Q14" s="88" t="str">
        <f t="shared" si="14"/>
        <v/>
      </c>
      <c r="R14" s="54" t="str">
        <f t="shared" si="4"/>
        <v>Bw</v>
      </c>
      <c r="S14" s="89" t="s">
        <v>75</v>
      </c>
      <c r="T14" s="51">
        <f t="shared" si="5"/>
        <v>5</v>
      </c>
      <c r="U14" s="120"/>
      <c r="V14" s="88" t="str">
        <f t="shared" si="15"/>
        <v/>
      </c>
      <c r="W14" s="54" t="str">
        <f t="shared" si="6"/>
        <v>Bw</v>
      </c>
      <c r="X14" s="89" t="s">
        <v>75</v>
      </c>
      <c r="Y14" s="51">
        <f t="shared" si="7"/>
        <v>5</v>
      </c>
      <c r="Z14" s="120"/>
      <c r="AA14" s="88" t="str">
        <f t="shared" si="16"/>
        <v/>
      </c>
      <c r="AB14" s="54" t="str">
        <f t="shared" si="8"/>
        <v>Bw</v>
      </c>
      <c r="AC14" s="89" t="s">
        <v>75</v>
      </c>
      <c r="AD14" s="51">
        <f t="shared" si="9"/>
        <v>5</v>
      </c>
      <c r="AE14" s="119"/>
      <c r="AF14" s="88" t="str">
        <f t="shared" si="17"/>
        <v/>
      </c>
      <c r="AG14" s="54" t="str">
        <f t="shared" si="10"/>
        <v>Bw</v>
      </c>
      <c r="AH14" s="89" t="s">
        <v>75</v>
      </c>
      <c r="AI14" s="51">
        <f t="shared" si="11"/>
        <v>5</v>
      </c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68"/>
      <c r="BA14" s="68"/>
      <c r="BB14" s="68"/>
      <c r="BC14" s="68"/>
      <c r="BD14" s="68"/>
      <c r="BE14" s="68"/>
      <c r="BF14" s="68"/>
      <c r="BG14" s="68"/>
      <c r="BH14" s="68"/>
      <c r="BI14" s="68"/>
      <c r="BJ14" s="68"/>
      <c r="BK14" s="68"/>
      <c r="BL14" s="68"/>
      <c r="BM14" s="68"/>
      <c r="BN14" s="68"/>
      <c r="BO14" s="68"/>
      <c r="BP14" s="68"/>
      <c r="BQ14" s="68"/>
      <c r="BR14" s="68"/>
    </row>
    <row r="15" spans="1:70">
      <c r="A15" s="68"/>
      <c r="B15" s="68"/>
      <c r="C15" s="68"/>
      <c r="D15" s="90" t="s">
        <v>33</v>
      </c>
      <c r="E15" s="68"/>
      <c r="F15" s="91">
        <f>J3</f>
        <v>124</v>
      </c>
      <c r="G15" s="91"/>
      <c r="H15" s="71"/>
      <c r="I15" s="71"/>
      <c r="J15" s="72"/>
      <c r="K15" s="92">
        <f>O3</f>
        <v>125</v>
      </c>
      <c r="L15" s="91"/>
      <c r="M15" s="71"/>
      <c r="N15" s="71"/>
      <c r="O15" s="72"/>
      <c r="P15" s="92">
        <f>T3</f>
        <v>122</v>
      </c>
      <c r="Q15" s="91"/>
      <c r="R15" s="71"/>
      <c r="S15" s="71"/>
      <c r="T15" s="72"/>
      <c r="U15" s="92">
        <f>Y3</f>
        <v>110</v>
      </c>
      <c r="V15" s="91"/>
      <c r="W15" s="71"/>
      <c r="X15" s="71"/>
      <c r="Y15" s="72"/>
      <c r="Z15" s="92">
        <f>AD3</f>
        <v>112</v>
      </c>
      <c r="AA15" s="91"/>
      <c r="AB15" s="71"/>
      <c r="AC15" s="71"/>
      <c r="AD15" s="72"/>
      <c r="AE15" s="92">
        <f>AI3</f>
        <v>113</v>
      </c>
      <c r="AF15" s="91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68"/>
      <c r="BI15" s="68"/>
      <c r="BJ15" s="68"/>
      <c r="BK15" s="68"/>
      <c r="BL15" s="68"/>
      <c r="BM15" s="68"/>
      <c r="BN15" s="68"/>
      <c r="BO15" s="68"/>
      <c r="BP15" s="68"/>
      <c r="BQ15" s="68"/>
      <c r="BR15" s="68"/>
    </row>
    <row r="16" spans="1:70">
      <c r="A16" s="68"/>
      <c r="B16" s="68"/>
      <c r="C16" s="68"/>
      <c r="D16" s="93" t="s">
        <v>21</v>
      </c>
      <c r="E16" s="68"/>
      <c r="F16" s="91">
        <f>TotalTeamScore!G2</f>
        <v>519</v>
      </c>
      <c r="G16" s="91"/>
      <c r="H16" s="70"/>
      <c r="I16" s="70"/>
      <c r="J16" s="70"/>
      <c r="K16" s="91">
        <f>TotalTeamScore!G3</f>
        <v>571</v>
      </c>
      <c r="L16" s="91"/>
      <c r="M16" s="78"/>
      <c r="N16" s="78"/>
      <c r="O16" s="78"/>
      <c r="P16" s="91">
        <f>TotalTeamScore!G4</f>
        <v>217</v>
      </c>
      <c r="Q16" s="91"/>
      <c r="R16" s="78"/>
      <c r="S16" s="78"/>
      <c r="T16" s="78"/>
      <c r="U16" s="91">
        <f>TotalTeamScore!G5</f>
        <v>301</v>
      </c>
      <c r="V16" s="91"/>
      <c r="W16" s="78"/>
      <c r="X16" s="78"/>
      <c r="Y16" s="78"/>
      <c r="Z16" s="91">
        <f>TotalTeamScore!G6</f>
        <v>298</v>
      </c>
      <c r="AA16" s="91"/>
      <c r="AB16" s="78"/>
      <c r="AC16" s="78"/>
      <c r="AD16" s="78"/>
      <c r="AE16" s="91">
        <f>TotalTeamScore!G7</f>
        <v>423</v>
      </c>
      <c r="AF16" s="91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  <c r="AX16" s="68"/>
      <c r="AY16" s="68"/>
      <c r="AZ16" s="68"/>
      <c r="BA16" s="68"/>
      <c r="BB16" s="68"/>
      <c r="BC16" s="68"/>
      <c r="BD16" s="68"/>
      <c r="BE16" s="68"/>
      <c r="BF16" s="68"/>
      <c r="BG16" s="68"/>
      <c r="BH16" s="68"/>
      <c r="BI16" s="68"/>
      <c r="BJ16" s="68"/>
      <c r="BK16" s="68"/>
      <c r="BL16" s="68"/>
      <c r="BM16" s="68"/>
      <c r="BN16" s="68"/>
      <c r="BO16" s="68"/>
      <c r="BP16" s="68"/>
      <c r="BQ16" s="68"/>
      <c r="BR16" s="68"/>
    </row>
    <row r="17" spans="1:70">
      <c r="A17" s="68"/>
      <c r="B17" s="68"/>
      <c r="C17" s="68"/>
      <c r="D17" s="93" t="s">
        <v>93</v>
      </c>
      <c r="E17" s="68"/>
      <c r="F17" s="91">
        <f>COUNTIF(SubstitutionLog!$A:$A,I3)</f>
        <v>5</v>
      </c>
      <c r="G17" s="91"/>
      <c r="H17" s="68"/>
      <c r="I17" s="68"/>
      <c r="J17" s="68"/>
      <c r="K17" s="92">
        <f>COUNTIF(SubstitutionLog!$A:$A,N3)</f>
        <v>0</v>
      </c>
      <c r="L17" s="91"/>
      <c r="M17" s="78"/>
      <c r="N17" s="78"/>
      <c r="O17" s="78"/>
      <c r="P17" s="92">
        <f>COUNTIF(SubstitutionLog!$A:$A,S3)</f>
        <v>0</v>
      </c>
      <c r="Q17" s="91"/>
      <c r="R17" s="78"/>
      <c r="S17" s="78"/>
      <c r="T17" s="78"/>
      <c r="U17" s="92">
        <f>COUNTIF(SubstitutionLog!$A:$A,X3)</f>
        <v>2</v>
      </c>
      <c r="V17" s="91"/>
      <c r="W17" s="78"/>
      <c r="X17" s="78"/>
      <c r="Y17" s="78"/>
      <c r="Z17" s="92">
        <f>COUNTIF(SubstitutionLog!$A:$A,AC3)</f>
        <v>0</v>
      </c>
      <c r="AA17" s="91"/>
      <c r="AB17" s="78"/>
      <c r="AC17" s="78"/>
      <c r="AD17" s="78"/>
      <c r="AE17" s="92">
        <f>COUNTIF(SubstitutionLog!$A:$A,AH3)</f>
        <v>2</v>
      </c>
      <c r="AF17" s="91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68"/>
      <c r="BI17" s="68"/>
      <c r="BJ17" s="68"/>
      <c r="BK17" s="68"/>
      <c r="BL17" s="68"/>
      <c r="BM17" s="68"/>
      <c r="BN17" s="68"/>
      <c r="BO17" s="68"/>
      <c r="BP17" s="68"/>
      <c r="BQ17" s="68"/>
      <c r="BR17" s="68"/>
    </row>
    <row r="18" spans="1:70">
      <c r="A18" s="68"/>
      <c r="B18" s="68"/>
      <c r="C18" s="68"/>
      <c r="D18" s="93" t="s">
        <v>94</v>
      </c>
      <c r="E18" s="68"/>
      <c r="F18" s="91">
        <f>IFERROR(F16-(F17*$C$4),"")</f>
        <v>19</v>
      </c>
      <c r="G18" s="91"/>
      <c r="H18" s="71"/>
      <c r="I18" s="71"/>
      <c r="J18" s="72"/>
      <c r="K18" s="91">
        <f>IFERROR(K16-(K17*$C$4),"")</f>
        <v>571</v>
      </c>
      <c r="L18" s="91"/>
      <c r="M18" s="71"/>
      <c r="N18" s="71"/>
      <c r="O18" s="72"/>
      <c r="P18" s="91">
        <f>IFERROR(P16-(P17*$C$4),"")</f>
        <v>217</v>
      </c>
      <c r="Q18" s="91"/>
      <c r="R18" s="71"/>
      <c r="S18" s="71"/>
      <c r="T18" s="72"/>
      <c r="U18" s="91">
        <f>IFERROR(U16-(U17*$C$4),"")</f>
        <v>101</v>
      </c>
      <c r="V18" s="91"/>
      <c r="W18" s="71"/>
      <c r="X18" s="71"/>
      <c r="Y18" s="72"/>
      <c r="Z18" s="91">
        <f>IFERROR(Z16-(Z17*$C$4),"")</f>
        <v>298</v>
      </c>
      <c r="AA18" s="91"/>
      <c r="AB18" s="71"/>
      <c r="AC18" s="71"/>
      <c r="AD18" s="72"/>
      <c r="AE18" s="91">
        <f>IFERROR(AE16-(AE17*$C$4),"")</f>
        <v>223</v>
      </c>
      <c r="AF18" s="91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  <c r="AX18" s="68"/>
      <c r="AY18" s="68"/>
      <c r="AZ18" s="68"/>
      <c r="BA18" s="68"/>
      <c r="BB18" s="68"/>
      <c r="BC18" s="68"/>
      <c r="BD18" s="68"/>
      <c r="BE18" s="68"/>
      <c r="BF18" s="68"/>
      <c r="BG18" s="68"/>
      <c r="BH18" s="68"/>
      <c r="BI18" s="68"/>
      <c r="BJ18" s="68"/>
      <c r="BK18" s="68"/>
      <c r="BL18" s="68"/>
      <c r="BM18" s="68"/>
      <c r="BN18" s="68"/>
      <c r="BO18" s="68"/>
      <c r="BP18" s="68"/>
      <c r="BQ18" s="68"/>
      <c r="BR18" s="68"/>
    </row>
    <row r="19" spans="1:70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  <c r="AX19" s="68"/>
      <c r="AY19" s="68"/>
      <c r="AZ19" s="68"/>
      <c r="BA19" s="68"/>
      <c r="BB19" s="68"/>
      <c r="BC19" s="68"/>
      <c r="BD19" s="68"/>
      <c r="BE19" s="68"/>
      <c r="BF19" s="68"/>
      <c r="BG19" s="68"/>
      <c r="BH19" s="68"/>
      <c r="BI19" s="68"/>
      <c r="BJ19" s="68"/>
      <c r="BK19" s="68"/>
      <c r="BL19" s="68"/>
      <c r="BM19" s="68"/>
      <c r="BN19" s="68"/>
      <c r="BO19" s="68"/>
      <c r="BP19" s="68"/>
      <c r="BQ19" s="68"/>
      <c r="BR19" s="68"/>
    </row>
    <row r="20" spans="1:70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68"/>
      <c r="BA20" s="68"/>
      <c r="BB20" s="68"/>
      <c r="BC20" s="68"/>
      <c r="BD20" s="68"/>
      <c r="BE20" s="68"/>
      <c r="BF20" s="68"/>
      <c r="BG20" s="68"/>
      <c r="BH20" s="68"/>
      <c r="BI20" s="68"/>
      <c r="BJ20" s="68"/>
      <c r="BK20" s="68"/>
      <c r="BL20" s="68"/>
      <c r="BM20" s="68"/>
      <c r="BN20" s="68"/>
      <c r="BO20" s="68"/>
      <c r="BP20" s="68"/>
      <c r="BQ20" s="68"/>
      <c r="BR20" s="68"/>
    </row>
  </sheetData>
  <mergeCells count="13">
    <mergeCell ref="AE3:AE14"/>
    <mergeCell ref="F3:F14"/>
    <mergeCell ref="K3:K14"/>
    <mergeCell ref="P3:P14"/>
    <mergeCell ref="B3:D3"/>
    <mergeCell ref="U3:U14"/>
    <mergeCell ref="Z3:Z14"/>
    <mergeCell ref="B6:D6"/>
    <mergeCell ref="C7:D7"/>
    <mergeCell ref="C8:D8"/>
    <mergeCell ref="C9:D9"/>
    <mergeCell ref="C10:D10"/>
    <mergeCell ref="C11:D11"/>
  </mergeCells>
  <conditionalFormatting sqref="F2:G2 K2:L2 P2:Q2 U2:V2 AE2:AF2 Z2:AA2">
    <cfRule type="containsText" dxfId="1" priority="30" operator="containsText" text="Error">
      <formula>NOT(ISERROR(SEARCH("Error",F2)))</formula>
    </cfRule>
  </conditionalFormatting>
  <conditionalFormatting sqref="G4:G14 L4:L14 Q4:Q14 V4:V14 AA4:AA14 AF4:AF14">
    <cfRule type="containsText" dxfId="0" priority="7" operator="containsText" text="*">
      <formula>NOT(ISERROR(SEARCH("*",G4)))</formula>
    </cfRule>
  </conditionalFormatting>
  <dataValidations count="1">
    <dataValidation type="list" allowBlank="1" showInputMessage="1" showErrorMessage="1" sqref="AH4:AH14 AC4:AC14 S4:S14 N4:N14 X4:X14 I4:I14">
      <formula1>Player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rgb="FFFF0000"/>
  </sheetPr>
  <dimension ref="B1:T153"/>
  <sheetViews>
    <sheetView workbookViewId="0">
      <pane xSplit="5" ySplit="8" topLeftCell="F154" activePane="bottomRight" state="frozen"/>
      <selection pane="topRight" activeCell="F1" sqref="F1"/>
      <selection pane="bottomLeft" activeCell="A9" sqref="A9"/>
      <selection pane="bottomRight" activeCell="E158" sqref="E158:E166"/>
    </sheetView>
  </sheetViews>
  <sheetFormatPr defaultRowHeight="14.5" outlineLevelRow="1"/>
  <cols>
    <col min="1" max="1" width="5.26953125" customWidth="1"/>
    <col min="4" max="4" width="12.54296875" bestFit="1" customWidth="1"/>
    <col min="5" max="5" width="22.54296875" bestFit="1" customWidth="1"/>
    <col min="6" max="6" width="9.26953125" bestFit="1" customWidth="1"/>
    <col min="7" max="7" width="5.7265625" bestFit="1" customWidth="1"/>
    <col min="8" max="8" width="9.26953125" bestFit="1" customWidth="1"/>
    <col min="9" max="9" width="5.7265625" bestFit="1" customWidth="1"/>
    <col min="10" max="10" width="9.26953125" bestFit="1" customWidth="1"/>
    <col min="11" max="11" width="5.7265625" bestFit="1" customWidth="1"/>
    <col min="12" max="12" width="9.26953125" bestFit="1" customWidth="1"/>
    <col min="13" max="13" width="5.7265625" bestFit="1" customWidth="1"/>
    <col min="15" max="15" width="5.7265625" bestFit="1" customWidth="1"/>
    <col min="16" max="16" width="10.1796875" bestFit="1" customWidth="1"/>
    <col min="17" max="17" width="11.453125" bestFit="1" customWidth="1"/>
    <col min="18" max="18" width="0" hidden="1" customWidth="1"/>
    <col min="19" max="19" width="8.54296875" hidden="1" customWidth="1"/>
    <col min="20" max="20" width="0" hidden="1" customWidth="1"/>
    <col min="23" max="23" width="3" bestFit="1" customWidth="1"/>
  </cols>
  <sheetData>
    <row r="1" spans="2:20" ht="15" thickBot="1"/>
    <row r="2" spans="2:20">
      <c r="B2" s="109" t="s">
        <v>17</v>
      </c>
      <c r="C2" s="110"/>
      <c r="D2" s="111"/>
    </row>
    <row r="3" spans="2:20">
      <c r="B3" s="11" t="s">
        <v>11</v>
      </c>
      <c r="C3" s="41">
        <v>1</v>
      </c>
      <c r="D3" s="12" t="s">
        <v>7</v>
      </c>
    </row>
    <row r="4" spans="2:20">
      <c r="B4" s="11" t="s">
        <v>12</v>
      </c>
      <c r="C4" s="41">
        <v>10</v>
      </c>
      <c r="D4" s="12" t="s">
        <v>16</v>
      </c>
    </row>
    <row r="5" spans="2:20">
      <c r="B5" s="11" t="s">
        <v>13</v>
      </c>
      <c r="C5" s="41">
        <v>20</v>
      </c>
      <c r="D5" s="12" t="s">
        <v>16</v>
      </c>
    </row>
    <row r="6" spans="2:20">
      <c r="B6" s="11" t="s">
        <v>14</v>
      </c>
      <c r="C6" s="41">
        <v>30</v>
      </c>
      <c r="D6" s="12" t="s">
        <v>16</v>
      </c>
      <c r="F6" s="131" t="s">
        <v>2</v>
      </c>
      <c r="G6" s="131"/>
      <c r="H6" s="131"/>
      <c r="I6" s="131"/>
      <c r="J6" s="131"/>
      <c r="K6" s="131"/>
      <c r="L6" s="131"/>
      <c r="M6" s="131"/>
      <c r="N6" s="131"/>
      <c r="O6" s="6"/>
      <c r="P6" s="1"/>
    </row>
    <row r="7" spans="2:20" ht="15" thickBot="1">
      <c r="B7" s="13" t="s">
        <v>15</v>
      </c>
      <c r="C7" s="45">
        <v>50</v>
      </c>
      <c r="D7" s="15" t="s">
        <v>16</v>
      </c>
      <c r="F7" s="132">
        <v>40562</v>
      </c>
      <c r="G7" s="133"/>
      <c r="H7" s="132">
        <v>40563</v>
      </c>
      <c r="I7" s="133"/>
      <c r="J7" s="132">
        <v>40564</v>
      </c>
      <c r="K7" s="133"/>
      <c r="L7" s="132">
        <v>40565</v>
      </c>
      <c r="M7" s="133"/>
      <c r="N7" s="132">
        <v>40566</v>
      </c>
      <c r="O7" s="133"/>
    </row>
    <row r="8" spans="2:20">
      <c r="F8" s="8" t="s">
        <v>6</v>
      </c>
      <c r="G8" s="8" t="s">
        <v>7</v>
      </c>
      <c r="H8" s="8" t="s">
        <v>6</v>
      </c>
      <c r="I8" s="8" t="s">
        <v>7</v>
      </c>
      <c r="J8" s="8" t="s">
        <v>6</v>
      </c>
      <c r="K8" s="8" t="s">
        <v>7</v>
      </c>
      <c r="L8" s="8" t="s">
        <v>6</v>
      </c>
      <c r="M8" s="8" t="s">
        <v>7</v>
      </c>
      <c r="N8" s="8" t="s">
        <v>6</v>
      </c>
      <c r="O8" s="8" t="s">
        <v>7</v>
      </c>
      <c r="P8" s="9" t="s">
        <v>8</v>
      </c>
      <c r="Q8" s="10" t="s">
        <v>3</v>
      </c>
    </row>
    <row r="9" spans="2:20">
      <c r="D9" s="5" t="s">
        <v>0</v>
      </c>
      <c r="F9" s="105">
        <f>SUM(F10:F24)</f>
        <v>344</v>
      </c>
      <c r="G9" s="104">
        <f t="shared" ref="G9:H9" si="0">SUM(G10:G24)</f>
        <v>394</v>
      </c>
      <c r="H9" s="105">
        <f t="shared" si="0"/>
        <v>0</v>
      </c>
      <c r="I9" s="104">
        <f t="shared" ref="I9:J9" si="1">SUM(I10:I24)</f>
        <v>0</v>
      </c>
      <c r="J9" s="105">
        <f t="shared" si="1"/>
        <v>0</v>
      </c>
      <c r="K9" s="104">
        <f t="shared" ref="K9:L9" si="2">SUM(K10:K24)</f>
        <v>0</v>
      </c>
      <c r="L9" s="105">
        <f t="shared" si="2"/>
        <v>0</v>
      </c>
      <c r="M9" s="104">
        <f t="shared" ref="M9:N9" si="3">SUM(M10:M24)</f>
        <v>0</v>
      </c>
      <c r="N9" s="105">
        <f t="shared" si="3"/>
        <v>0</v>
      </c>
      <c r="O9" s="104">
        <f t="shared" ref="O9:P9" si="4">SUM(O10:O24)</f>
        <v>0</v>
      </c>
      <c r="P9" s="105">
        <f t="shared" si="4"/>
        <v>344</v>
      </c>
      <c r="Q9" s="104">
        <f t="shared" ref="Q9" si="5">SUM(Q10:Q24)</f>
        <v>394</v>
      </c>
    </row>
    <row r="10" spans="2:20" hidden="1" outlineLevel="1">
      <c r="E10" s="3" t="str">
        <f>PlayerPool!B3</f>
        <v>Sachin Tendulkar</v>
      </c>
      <c r="F10" s="36">
        <v>27</v>
      </c>
      <c r="G10" s="102">
        <f>F10*$C$3+IF(F10&gt;199,$C$7,IF(F10&gt;149,$C$6,IF(F10&gt;99,$C$5,IF(F10&gt;49,$C$4,0))))</f>
        <v>27</v>
      </c>
      <c r="H10" s="36"/>
      <c r="I10" s="102">
        <f>H10*$C$3+IF(H10&gt;199,$C$7,IF(H10&gt;149,$C$6,IF(H10&gt;99,$C$5,IF(H10&gt;49,$C$4,0))))</f>
        <v>0</v>
      </c>
      <c r="J10" s="36"/>
      <c r="K10" s="102">
        <f>J10*$C$3+IF(J10&gt;199,$C$7,IF(J10&gt;149,$C$6,IF(J10&gt;99,$C$5,IF(J10&gt;49,$C$4,0))))</f>
        <v>0</v>
      </c>
      <c r="L10" s="36"/>
      <c r="M10" s="102">
        <f>L10*$C$3+IF(L10&gt;199,$C$7,IF(L10&gt;149,$C$6,IF(L10&gt;99,$C$5,IF(L10&gt;49,$C$4,0))))</f>
        <v>0</v>
      </c>
      <c r="N10" s="36"/>
      <c r="O10" s="102">
        <f>N10*$C$3+IF(N10&gt;199,$C$7,IF(N10&gt;149,$C$6,IF(N10&gt;99,$C$5,IF(N10&gt;49,$C$4,0))))</f>
        <v>0</v>
      </c>
      <c r="P10" s="102">
        <f>SUM(F10,H10,J10,L10,N10)</f>
        <v>27</v>
      </c>
      <c r="Q10" s="102">
        <f>SUM(G10,I10,K10,M10,O10)</f>
        <v>27</v>
      </c>
      <c r="R10">
        <f>SUM(F10:N10)</f>
        <v>54</v>
      </c>
      <c r="S10" s="2">
        <f t="shared" ref="S10:S24" si="6">COUNTIF(F10:N10,"&gt;=50")</f>
        <v>0</v>
      </c>
      <c r="T10" s="2">
        <f>COUNTIF(F10:N10,"&gt;=100")</f>
        <v>0</v>
      </c>
    </row>
    <row r="11" spans="2:20" hidden="1" outlineLevel="1">
      <c r="E11" s="3" t="str">
        <f>PlayerPool!B4</f>
        <v>Virender Sehwag</v>
      </c>
      <c r="F11" s="36">
        <v>175</v>
      </c>
      <c r="G11" s="102">
        <f t="shared" ref="G11:G74" si="7">F11*$C$3+IF(F11&gt;199,$C$7,IF(F11&gt;149,$C$6,IF(F11&gt;99,$C$5,IF(F11&gt;49,$C$4,0))))</f>
        <v>205</v>
      </c>
      <c r="H11" s="36"/>
      <c r="I11" s="102">
        <f t="shared" ref="I11:I74" si="8">H11*$C$3+IF(H11&gt;199,$C$7,IF(H11&gt;149,$C$6,IF(H11&gt;99,$C$5,IF(H11&gt;49,$C$4,0))))</f>
        <v>0</v>
      </c>
      <c r="J11" s="36"/>
      <c r="K11" s="102">
        <f t="shared" ref="K11:K74" si="9">J11*$C$3+IF(J11&gt;199,$C$7,IF(J11&gt;149,$C$6,IF(J11&gt;99,$C$5,IF(J11&gt;49,$C$4,0))))</f>
        <v>0</v>
      </c>
      <c r="L11" s="36"/>
      <c r="M11" s="102">
        <f t="shared" ref="M11:M74" si="10">L11*$C$3+IF(L11&gt;199,$C$7,IF(L11&gt;149,$C$6,IF(L11&gt;99,$C$5,IF(L11&gt;49,$C$4,0))))</f>
        <v>0</v>
      </c>
      <c r="N11" s="36"/>
      <c r="O11" s="102">
        <f t="shared" ref="O11:O74" si="11">N11*$C$3+IF(N11&gt;199,$C$7,IF(N11&gt;149,$C$6,IF(N11&gt;99,$C$5,IF(N11&gt;49,$C$4,0))))</f>
        <v>0</v>
      </c>
      <c r="P11" s="102">
        <f t="shared" ref="P11:P74" si="12">SUM(F11,H11,J11,L11,N11)</f>
        <v>175</v>
      </c>
      <c r="Q11" s="102">
        <f t="shared" ref="Q11:Q74" si="13">SUM(G11,I11,K11,M11,O11)</f>
        <v>205</v>
      </c>
      <c r="S11" s="2">
        <f t="shared" si="6"/>
        <v>2</v>
      </c>
      <c r="T11" s="2">
        <f t="shared" ref="T11:T24" si="14">COUNTIF(F11:N11,"&gt;=100")</f>
        <v>2</v>
      </c>
    </row>
    <row r="12" spans="2:20" hidden="1" outlineLevel="1">
      <c r="E12" s="3" t="str">
        <f>PlayerPool!B5</f>
        <v>Gautam Gambhir</v>
      </c>
      <c r="F12" s="36">
        <v>39</v>
      </c>
      <c r="G12" s="102">
        <f t="shared" si="7"/>
        <v>39</v>
      </c>
      <c r="H12" s="36"/>
      <c r="I12" s="102">
        <f t="shared" si="8"/>
        <v>0</v>
      </c>
      <c r="J12" s="36"/>
      <c r="K12" s="102">
        <f t="shared" si="9"/>
        <v>0</v>
      </c>
      <c r="L12" s="36"/>
      <c r="M12" s="102">
        <f t="shared" si="10"/>
        <v>0</v>
      </c>
      <c r="N12" s="36"/>
      <c r="O12" s="102">
        <f t="shared" si="11"/>
        <v>0</v>
      </c>
      <c r="P12" s="102">
        <f t="shared" si="12"/>
        <v>39</v>
      </c>
      <c r="Q12" s="102">
        <f t="shared" si="13"/>
        <v>39</v>
      </c>
      <c r="S12" s="2">
        <f t="shared" si="6"/>
        <v>0</v>
      </c>
      <c r="T12" s="2">
        <f t="shared" si="14"/>
        <v>0</v>
      </c>
    </row>
    <row r="13" spans="2:20" hidden="1" outlineLevel="1">
      <c r="E13" s="3" t="str">
        <f>PlayerPool!B6</f>
        <v>Viraat Kohli</v>
      </c>
      <c r="F13" s="36">
        <v>100</v>
      </c>
      <c r="G13" s="102">
        <f t="shared" si="7"/>
        <v>120</v>
      </c>
      <c r="H13" s="36"/>
      <c r="I13" s="102">
        <f t="shared" si="8"/>
        <v>0</v>
      </c>
      <c r="J13" s="36"/>
      <c r="K13" s="102">
        <f t="shared" si="9"/>
        <v>0</v>
      </c>
      <c r="L13" s="36"/>
      <c r="M13" s="102">
        <f t="shared" si="10"/>
        <v>0</v>
      </c>
      <c r="N13" s="36"/>
      <c r="O13" s="102">
        <f t="shared" si="11"/>
        <v>0</v>
      </c>
      <c r="P13" s="102">
        <f t="shared" si="12"/>
        <v>100</v>
      </c>
      <c r="Q13" s="102">
        <f t="shared" si="13"/>
        <v>120</v>
      </c>
      <c r="S13" s="2">
        <f t="shared" si="6"/>
        <v>2</v>
      </c>
      <c r="T13" s="2">
        <f t="shared" si="14"/>
        <v>2</v>
      </c>
    </row>
    <row r="14" spans="2:20" hidden="1" outlineLevel="1">
      <c r="E14" s="3" t="str">
        <f>PlayerPool!B7</f>
        <v>Yuvraj Singh</v>
      </c>
      <c r="F14" s="36"/>
      <c r="G14" s="102">
        <f t="shared" si="7"/>
        <v>0</v>
      </c>
      <c r="H14" s="36"/>
      <c r="I14" s="102">
        <f t="shared" si="8"/>
        <v>0</v>
      </c>
      <c r="J14" s="36"/>
      <c r="K14" s="102">
        <f t="shared" si="9"/>
        <v>0</v>
      </c>
      <c r="L14" s="36"/>
      <c r="M14" s="102">
        <f t="shared" si="10"/>
        <v>0</v>
      </c>
      <c r="N14" s="36"/>
      <c r="O14" s="102">
        <f t="shared" si="11"/>
        <v>0</v>
      </c>
      <c r="P14" s="102">
        <f t="shared" si="12"/>
        <v>0</v>
      </c>
      <c r="Q14" s="102">
        <f t="shared" si="13"/>
        <v>0</v>
      </c>
      <c r="S14" s="2">
        <f t="shared" si="6"/>
        <v>0</v>
      </c>
      <c r="T14" s="2">
        <f t="shared" si="14"/>
        <v>0</v>
      </c>
    </row>
    <row r="15" spans="2:20" hidden="1" outlineLevel="1">
      <c r="E15" s="3" t="str">
        <f>PlayerPool!B8</f>
        <v>Suresh Raina</v>
      </c>
      <c r="F15" s="36"/>
      <c r="G15" s="102">
        <f t="shared" si="7"/>
        <v>0</v>
      </c>
      <c r="H15" s="36"/>
      <c r="I15" s="102">
        <f t="shared" si="8"/>
        <v>0</v>
      </c>
      <c r="J15" s="36"/>
      <c r="K15" s="102">
        <f t="shared" si="9"/>
        <v>0</v>
      </c>
      <c r="L15" s="36"/>
      <c r="M15" s="102">
        <f t="shared" si="10"/>
        <v>0</v>
      </c>
      <c r="N15" s="36"/>
      <c r="O15" s="102">
        <f t="shared" si="11"/>
        <v>0</v>
      </c>
      <c r="P15" s="102">
        <f t="shared" si="12"/>
        <v>0</v>
      </c>
      <c r="Q15" s="102">
        <f t="shared" si="13"/>
        <v>0</v>
      </c>
      <c r="S15" s="2">
        <f t="shared" si="6"/>
        <v>0</v>
      </c>
      <c r="T15" s="2">
        <f t="shared" si="14"/>
        <v>0</v>
      </c>
    </row>
    <row r="16" spans="2:20" hidden="1" outlineLevel="1">
      <c r="E16" s="3" t="str">
        <f>PlayerPool!B9</f>
        <v>MS Dhoni</v>
      </c>
      <c r="F16" s="36"/>
      <c r="G16" s="102">
        <f t="shared" si="7"/>
        <v>0</v>
      </c>
      <c r="H16" s="36"/>
      <c r="I16" s="102">
        <f t="shared" si="8"/>
        <v>0</v>
      </c>
      <c r="J16" s="36"/>
      <c r="K16" s="102">
        <f t="shared" si="9"/>
        <v>0</v>
      </c>
      <c r="L16" s="36"/>
      <c r="M16" s="102">
        <f t="shared" si="10"/>
        <v>0</v>
      </c>
      <c r="N16" s="36"/>
      <c r="O16" s="102">
        <f t="shared" si="11"/>
        <v>0</v>
      </c>
      <c r="P16" s="102">
        <f t="shared" si="12"/>
        <v>0</v>
      </c>
      <c r="Q16" s="102">
        <f t="shared" si="13"/>
        <v>0</v>
      </c>
      <c r="S16" s="2">
        <f t="shared" si="6"/>
        <v>0</v>
      </c>
      <c r="T16" s="2">
        <f t="shared" si="14"/>
        <v>0</v>
      </c>
    </row>
    <row r="17" spans="4:20" hidden="1" outlineLevel="1">
      <c r="E17" s="3" t="str">
        <f>PlayerPool!B10</f>
        <v>Yousuf Pathan</v>
      </c>
      <c r="F17" s="36">
        <v>3</v>
      </c>
      <c r="G17" s="102">
        <f t="shared" si="7"/>
        <v>3</v>
      </c>
      <c r="H17" s="36"/>
      <c r="I17" s="102">
        <f t="shared" si="8"/>
        <v>0</v>
      </c>
      <c r="J17" s="36"/>
      <c r="K17" s="102">
        <f t="shared" si="9"/>
        <v>0</v>
      </c>
      <c r="L17" s="36"/>
      <c r="M17" s="102">
        <f t="shared" si="10"/>
        <v>0</v>
      </c>
      <c r="N17" s="36"/>
      <c r="O17" s="102">
        <f t="shared" si="11"/>
        <v>0</v>
      </c>
      <c r="P17" s="102">
        <f t="shared" si="12"/>
        <v>3</v>
      </c>
      <c r="Q17" s="102">
        <f t="shared" si="13"/>
        <v>3</v>
      </c>
      <c r="S17" s="2">
        <f t="shared" si="6"/>
        <v>0</v>
      </c>
      <c r="T17" s="2">
        <f t="shared" si="14"/>
        <v>0</v>
      </c>
    </row>
    <row r="18" spans="4:20" hidden="1" outlineLevel="1">
      <c r="E18" s="3" t="str">
        <f>PlayerPool!B11</f>
        <v>Munaf Patel</v>
      </c>
      <c r="F18" s="36"/>
      <c r="G18" s="102">
        <f t="shared" si="7"/>
        <v>0</v>
      </c>
      <c r="H18" s="36"/>
      <c r="I18" s="102">
        <f t="shared" si="8"/>
        <v>0</v>
      </c>
      <c r="J18" s="36"/>
      <c r="K18" s="102">
        <f t="shared" si="9"/>
        <v>0</v>
      </c>
      <c r="L18" s="36"/>
      <c r="M18" s="102">
        <f t="shared" si="10"/>
        <v>0</v>
      </c>
      <c r="N18" s="36"/>
      <c r="O18" s="102">
        <f t="shared" si="11"/>
        <v>0</v>
      </c>
      <c r="P18" s="102">
        <f t="shared" si="12"/>
        <v>0</v>
      </c>
      <c r="Q18" s="102">
        <f t="shared" si="13"/>
        <v>0</v>
      </c>
      <c r="S18" s="2">
        <f t="shared" si="6"/>
        <v>0</v>
      </c>
      <c r="T18" s="2">
        <f t="shared" si="14"/>
        <v>0</v>
      </c>
    </row>
    <row r="19" spans="4:20" hidden="1" outlineLevel="1">
      <c r="E19" s="3" t="str">
        <f>PlayerPool!B12</f>
        <v>Piyush Chawla</v>
      </c>
      <c r="F19" s="36"/>
      <c r="G19" s="102">
        <f t="shared" si="7"/>
        <v>0</v>
      </c>
      <c r="H19" s="36"/>
      <c r="I19" s="102">
        <f t="shared" si="8"/>
        <v>0</v>
      </c>
      <c r="J19" s="36"/>
      <c r="K19" s="102">
        <f t="shared" si="9"/>
        <v>0</v>
      </c>
      <c r="L19" s="36"/>
      <c r="M19" s="102">
        <f t="shared" si="10"/>
        <v>0</v>
      </c>
      <c r="N19" s="36"/>
      <c r="O19" s="102">
        <f t="shared" si="11"/>
        <v>0</v>
      </c>
      <c r="P19" s="102">
        <f t="shared" si="12"/>
        <v>0</v>
      </c>
      <c r="Q19" s="102">
        <f t="shared" si="13"/>
        <v>0</v>
      </c>
      <c r="S19" s="2"/>
      <c r="T19" s="2"/>
    </row>
    <row r="20" spans="4:20" hidden="1" outlineLevel="1">
      <c r="E20" s="3" t="str">
        <f>PlayerPool!B13</f>
        <v>Ashish Nehra</v>
      </c>
      <c r="F20" s="36"/>
      <c r="G20" s="102">
        <f t="shared" si="7"/>
        <v>0</v>
      </c>
      <c r="H20" s="36"/>
      <c r="I20" s="102">
        <f t="shared" si="8"/>
        <v>0</v>
      </c>
      <c r="J20" s="36"/>
      <c r="K20" s="102">
        <f t="shared" si="9"/>
        <v>0</v>
      </c>
      <c r="L20" s="36"/>
      <c r="M20" s="102">
        <f t="shared" si="10"/>
        <v>0</v>
      </c>
      <c r="N20" s="36"/>
      <c r="O20" s="102">
        <f t="shared" si="11"/>
        <v>0</v>
      </c>
      <c r="P20" s="102">
        <f t="shared" si="12"/>
        <v>0</v>
      </c>
      <c r="Q20" s="102">
        <f t="shared" si="13"/>
        <v>0</v>
      </c>
      <c r="S20" s="2"/>
      <c r="T20" s="2"/>
    </row>
    <row r="21" spans="4:20" hidden="1" outlineLevel="1">
      <c r="E21" s="3" t="str">
        <f>PlayerPool!B14</f>
        <v>Harbhajan Singh</v>
      </c>
      <c r="F21" s="36"/>
      <c r="G21" s="102">
        <f t="shared" si="7"/>
        <v>0</v>
      </c>
      <c r="H21" s="36"/>
      <c r="I21" s="102">
        <f t="shared" si="8"/>
        <v>0</v>
      </c>
      <c r="J21" s="36"/>
      <c r="K21" s="102">
        <f t="shared" si="9"/>
        <v>0</v>
      </c>
      <c r="L21" s="36"/>
      <c r="M21" s="102">
        <f t="shared" si="10"/>
        <v>0</v>
      </c>
      <c r="N21" s="36"/>
      <c r="O21" s="102">
        <f t="shared" si="11"/>
        <v>0</v>
      </c>
      <c r="P21" s="102">
        <f t="shared" si="12"/>
        <v>0</v>
      </c>
      <c r="Q21" s="102">
        <f t="shared" si="13"/>
        <v>0</v>
      </c>
      <c r="S21" s="2"/>
      <c r="T21" s="2"/>
    </row>
    <row r="22" spans="4:20" hidden="1" outlineLevel="1">
      <c r="E22" s="3" t="str">
        <f>PlayerPool!B15</f>
        <v>Zaheer Khan</v>
      </c>
      <c r="F22" s="36"/>
      <c r="G22" s="102">
        <f t="shared" si="7"/>
        <v>0</v>
      </c>
      <c r="H22" s="36"/>
      <c r="I22" s="102">
        <f t="shared" si="8"/>
        <v>0</v>
      </c>
      <c r="J22" s="36"/>
      <c r="K22" s="102">
        <f t="shared" si="9"/>
        <v>0</v>
      </c>
      <c r="L22" s="36"/>
      <c r="M22" s="102">
        <f t="shared" si="10"/>
        <v>0</v>
      </c>
      <c r="N22" s="36"/>
      <c r="O22" s="102">
        <f t="shared" si="11"/>
        <v>0</v>
      </c>
      <c r="P22" s="102">
        <f t="shared" si="12"/>
        <v>0</v>
      </c>
      <c r="Q22" s="102">
        <f t="shared" si="13"/>
        <v>0</v>
      </c>
      <c r="S22" s="2">
        <f t="shared" si="6"/>
        <v>0</v>
      </c>
      <c r="T22" s="2">
        <f t="shared" si="14"/>
        <v>0</v>
      </c>
    </row>
    <row r="23" spans="4:20" hidden="1" outlineLevel="1">
      <c r="E23" s="3" t="str">
        <f>PlayerPool!B16</f>
        <v xml:space="preserve">Sreesanth </v>
      </c>
      <c r="F23" s="36"/>
      <c r="G23" s="102">
        <f t="shared" si="7"/>
        <v>0</v>
      </c>
      <c r="H23" s="36"/>
      <c r="I23" s="102">
        <f t="shared" si="8"/>
        <v>0</v>
      </c>
      <c r="J23" s="36"/>
      <c r="K23" s="102">
        <f t="shared" si="9"/>
        <v>0</v>
      </c>
      <c r="L23" s="36"/>
      <c r="M23" s="102">
        <f t="shared" si="10"/>
        <v>0</v>
      </c>
      <c r="N23" s="36"/>
      <c r="O23" s="102">
        <f t="shared" si="11"/>
        <v>0</v>
      </c>
      <c r="P23" s="102">
        <f t="shared" si="12"/>
        <v>0</v>
      </c>
      <c r="Q23" s="102">
        <f t="shared" si="13"/>
        <v>0</v>
      </c>
      <c r="S23" s="2">
        <f t="shared" si="6"/>
        <v>0</v>
      </c>
      <c r="T23" s="2">
        <f t="shared" si="14"/>
        <v>0</v>
      </c>
    </row>
    <row r="24" spans="4:20" hidden="1" outlineLevel="1">
      <c r="E24" s="3" t="str">
        <f>PlayerPool!B17</f>
        <v>R Ashwin</v>
      </c>
      <c r="F24" s="36"/>
      <c r="G24" s="102">
        <f t="shared" si="7"/>
        <v>0</v>
      </c>
      <c r="H24" s="36"/>
      <c r="I24" s="102">
        <f t="shared" si="8"/>
        <v>0</v>
      </c>
      <c r="J24" s="36"/>
      <c r="K24" s="102">
        <f t="shared" si="9"/>
        <v>0</v>
      </c>
      <c r="L24" s="36"/>
      <c r="M24" s="102">
        <f t="shared" si="10"/>
        <v>0</v>
      </c>
      <c r="N24" s="36"/>
      <c r="O24" s="102">
        <f t="shared" si="11"/>
        <v>0</v>
      </c>
      <c r="P24" s="102">
        <f t="shared" si="12"/>
        <v>0</v>
      </c>
      <c r="Q24" s="102">
        <f t="shared" si="13"/>
        <v>0</v>
      </c>
      <c r="S24" s="2">
        <f t="shared" si="6"/>
        <v>0</v>
      </c>
      <c r="T24" s="2">
        <f t="shared" si="14"/>
        <v>0</v>
      </c>
    </row>
    <row r="25" spans="4:20" collapsed="1">
      <c r="D25" s="5" t="s">
        <v>1</v>
      </c>
      <c r="F25" s="105">
        <f>SUM(F26:F40)</f>
        <v>0</v>
      </c>
      <c r="G25" s="104">
        <f t="shared" ref="G25" si="15">SUM(G26:G40)</f>
        <v>0</v>
      </c>
      <c r="H25" s="105">
        <f t="shared" ref="H25" si="16">SUM(H26:H40)</f>
        <v>0</v>
      </c>
      <c r="I25" s="104">
        <f t="shared" ref="I25" si="17">SUM(I26:I40)</f>
        <v>0</v>
      </c>
      <c r="J25" s="105">
        <f t="shared" ref="J25" si="18">SUM(J26:J40)</f>
        <v>0</v>
      </c>
      <c r="K25" s="104">
        <f t="shared" ref="K25" si="19">SUM(K26:K40)</f>
        <v>0</v>
      </c>
      <c r="L25" s="105">
        <f t="shared" ref="L25" si="20">SUM(L26:L40)</f>
        <v>0</v>
      </c>
      <c r="M25" s="104">
        <f t="shared" ref="M25" si="21">SUM(M26:M40)</f>
        <v>0</v>
      </c>
      <c r="N25" s="105">
        <f t="shared" ref="N25" si="22">SUM(N26:N40)</f>
        <v>0</v>
      </c>
      <c r="O25" s="104">
        <f t="shared" ref="O25" si="23">SUM(O26:O40)</f>
        <v>0</v>
      </c>
      <c r="P25" s="105">
        <f t="shared" ref="P25" si="24">SUM(P26:P40)</f>
        <v>0</v>
      </c>
      <c r="Q25" s="104">
        <f t="shared" ref="Q25" si="25">SUM(Q26:Q40)</f>
        <v>0</v>
      </c>
      <c r="S25" s="2"/>
      <c r="T25" s="2"/>
    </row>
    <row r="26" spans="4:20" hidden="1" outlineLevel="1">
      <c r="E26" s="3" t="str">
        <f>PlayerPool!B18</f>
        <v>H Amla</v>
      </c>
      <c r="F26" s="36"/>
      <c r="G26" s="102">
        <f t="shared" si="7"/>
        <v>0</v>
      </c>
      <c r="H26" s="36"/>
      <c r="I26" s="102">
        <f t="shared" si="8"/>
        <v>0</v>
      </c>
      <c r="J26" s="36"/>
      <c r="K26" s="102">
        <f t="shared" si="9"/>
        <v>0</v>
      </c>
      <c r="L26" s="36"/>
      <c r="M26" s="102">
        <f t="shared" si="10"/>
        <v>0</v>
      </c>
      <c r="N26" s="36"/>
      <c r="O26" s="102">
        <f t="shared" si="11"/>
        <v>0</v>
      </c>
      <c r="P26" s="102">
        <f t="shared" si="12"/>
        <v>0</v>
      </c>
      <c r="Q26" s="102">
        <f t="shared" si="13"/>
        <v>0</v>
      </c>
      <c r="S26" s="2"/>
      <c r="T26" s="2"/>
    </row>
    <row r="27" spans="4:20" hidden="1" outlineLevel="1">
      <c r="E27" s="3" t="str">
        <f>PlayerPool!B19</f>
        <v>G Smith</v>
      </c>
      <c r="F27" s="36"/>
      <c r="G27" s="102">
        <f t="shared" si="7"/>
        <v>0</v>
      </c>
      <c r="H27" s="36"/>
      <c r="I27" s="102">
        <f t="shared" si="8"/>
        <v>0</v>
      </c>
      <c r="J27" s="36"/>
      <c r="K27" s="102">
        <f t="shared" si="9"/>
        <v>0</v>
      </c>
      <c r="L27" s="36"/>
      <c r="M27" s="102">
        <f t="shared" si="10"/>
        <v>0</v>
      </c>
      <c r="N27" s="36"/>
      <c r="O27" s="102">
        <f t="shared" si="11"/>
        <v>0</v>
      </c>
      <c r="P27" s="102">
        <f t="shared" si="12"/>
        <v>0</v>
      </c>
      <c r="Q27" s="102">
        <f t="shared" si="13"/>
        <v>0</v>
      </c>
      <c r="S27" s="2"/>
      <c r="T27" s="2"/>
    </row>
    <row r="28" spans="4:20" hidden="1" outlineLevel="1">
      <c r="E28" s="3" t="str">
        <f>PlayerPool!B20</f>
        <v>J Kallis</v>
      </c>
      <c r="F28" s="36"/>
      <c r="G28" s="102">
        <f t="shared" si="7"/>
        <v>0</v>
      </c>
      <c r="H28" s="36"/>
      <c r="I28" s="102">
        <f t="shared" si="8"/>
        <v>0</v>
      </c>
      <c r="J28" s="36"/>
      <c r="K28" s="102">
        <f t="shared" si="9"/>
        <v>0</v>
      </c>
      <c r="L28" s="36"/>
      <c r="M28" s="102">
        <f t="shared" si="10"/>
        <v>0</v>
      </c>
      <c r="N28" s="36"/>
      <c r="O28" s="102">
        <f t="shared" si="11"/>
        <v>0</v>
      </c>
      <c r="P28" s="102">
        <f t="shared" si="12"/>
        <v>0</v>
      </c>
      <c r="Q28" s="102">
        <f t="shared" si="13"/>
        <v>0</v>
      </c>
      <c r="S28" s="2"/>
      <c r="T28" s="2"/>
    </row>
    <row r="29" spans="4:20" hidden="1" outlineLevel="1">
      <c r="E29" s="3" t="str">
        <f>PlayerPool!B21</f>
        <v>AB De Villiers</v>
      </c>
      <c r="F29" s="36"/>
      <c r="G29" s="102">
        <f t="shared" si="7"/>
        <v>0</v>
      </c>
      <c r="H29" s="36"/>
      <c r="I29" s="102">
        <f t="shared" si="8"/>
        <v>0</v>
      </c>
      <c r="J29" s="36"/>
      <c r="K29" s="102">
        <f t="shared" si="9"/>
        <v>0</v>
      </c>
      <c r="L29" s="36"/>
      <c r="M29" s="102">
        <f t="shared" si="10"/>
        <v>0</v>
      </c>
      <c r="N29" s="36"/>
      <c r="O29" s="102">
        <f t="shared" si="11"/>
        <v>0</v>
      </c>
      <c r="P29" s="102">
        <f t="shared" si="12"/>
        <v>0</v>
      </c>
      <c r="Q29" s="102">
        <f t="shared" si="13"/>
        <v>0</v>
      </c>
      <c r="S29" s="2"/>
      <c r="T29" s="2"/>
    </row>
    <row r="30" spans="4:20" hidden="1" outlineLevel="1">
      <c r="E30" s="3" t="str">
        <f>PlayerPool!B22</f>
        <v>Faf du plessis</v>
      </c>
      <c r="F30" s="36"/>
      <c r="G30" s="102">
        <f t="shared" si="7"/>
        <v>0</v>
      </c>
      <c r="H30" s="36"/>
      <c r="I30" s="102">
        <f t="shared" si="8"/>
        <v>0</v>
      </c>
      <c r="J30" s="36"/>
      <c r="K30" s="102">
        <f t="shared" si="9"/>
        <v>0</v>
      </c>
      <c r="L30" s="36"/>
      <c r="M30" s="102">
        <f t="shared" si="10"/>
        <v>0</v>
      </c>
      <c r="N30" s="36"/>
      <c r="O30" s="102">
        <f t="shared" si="11"/>
        <v>0</v>
      </c>
      <c r="P30" s="102">
        <f t="shared" si="12"/>
        <v>0</v>
      </c>
      <c r="Q30" s="102">
        <f t="shared" si="13"/>
        <v>0</v>
      </c>
      <c r="S30" s="2"/>
      <c r="T30" s="2"/>
    </row>
    <row r="31" spans="4:20" hidden="1" outlineLevel="1">
      <c r="E31" s="3" t="str">
        <f>PlayerPool!B23</f>
        <v>Imran Tahir</v>
      </c>
      <c r="F31" s="36"/>
      <c r="G31" s="102">
        <f t="shared" si="7"/>
        <v>0</v>
      </c>
      <c r="H31" s="36"/>
      <c r="I31" s="102">
        <f t="shared" si="8"/>
        <v>0</v>
      </c>
      <c r="J31" s="36"/>
      <c r="K31" s="102">
        <f t="shared" si="9"/>
        <v>0</v>
      </c>
      <c r="L31" s="36"/>
      <c r="M31" s="102">
        <f t="shared" si="10"/>
        <v>0</v>
      </c>
      <c r="N31" s="36"/>
      <c r="O31" s="102">
        <f t="shared" si="11"/>
        <v>0</v>
      </c>
      <c r="P31" s="102">
        <f t="shared" si="12"/>
        <v>0</v>
      </c>
      <c r="Q31" s="102">
        <f t="shared" si="13"/>
        <v>0</v>
      </c>
      <c r="S31" s="2"/>
      <c r="T31" s="2"/>
    </row>
    <row r="32" spans="4:20" hidden="1" outlineLevel="1">
      <c r="E32" s="3" t="str">
        <f>PlayerPool!B24</f>
        <v>Colin Ingram</v>
      </c>
      <c r="F32" s="36"/>
      <c r="G32" s="102">
        <f t="shared" si="7"/>
        <v>0</v>
      </c>
      <c r="H32" s="36"/>
      <c r="I32" s="102">
        <f t="shared" si="8"/>
        <v>0</v>
      </c>
      <c r="J32" s="36"/>
      <c r="K32" s="102">
        <f t="shared" si="9"/>
        <v>0</v>
      </c>
      <c r="L32" s="36"/>
      <c r="M32" s="102">
        <f t="shared" si="10"/>
        <v>0</v>
      </c>
      <c r="N32" s="36"/>
      <c r="O32" s="102">
        <f t="shared" si="11"/>
        <v>0</v>
      </c>
      <c r="P32" s="102">
        <f t="shared" si="12"/>
        <v>0</v>
      </c>
      <c r="Q32" s="102">
        <f t="shared" si="13"/>
        <v>0</v>
      </c>
      <c r="S32" s="2"/>
      <c r="T32" s="2"/>
    </row>
    <row r="33" spans="4:20" hidden="1" outlineLevel="1">
      <c r="E33" s="3" t="str">
        <f>PlayerPool!B25</f>
        <v>JP Duminy</v>
      </c>
      <c r="F33" s="36"/>
      <c r="G33" s="102">
        <f t="shared" si="7"/>
        <v>0</v>
      </c>
      <c r="H33" s="36"/>
      <c r="I33" s="102">
        <f t="shared" si="8"/>
        <v>0</v>
      </c>
      <c r="J33" s="36"/>
      <c r="K33" s="102">
        <f t="shared" si="9"/>
        <v>0</v>
      </c>
      <c r="L33" s="36"/>
      <c r="M33" s="102">
        <f t="shared" si="10"/>
        <v>0</v>
      </c>
      <c r="N33" s="36"/>
      <c r="O33" s="102">
        <f t="shared" si="11"/>
        <v>0</v>
      </c>
      <c r="P33" s="102">
        <f t="shared" si="12"/>
        <v>0</v>
      </c>
      <c r="Q33" s="102">
        <f t="shared" si="13"/>
        <v>0</v>
      </c>
      <c r="S33" s="2"/>
      <c r="T33" s="2"/>
    </row>
    <row r="34" spans="4:20" hidden="1" outlineLevel="1">
      <c r="E34" s="3" t="str">
        <f>PlayerPool!B26</f>
        <v>R Peterson</v>
      </c>
      <c r="F34" s="36"/>
      <c r="G34" s="102">
        <f t="shared" si="7"/>
        <v>0</v>
      </c>
      <c r="H34" s="36"/>
      <c r="I34" s="102">
        <f t="shared" si="8"/>
        <v>0</v>
      </c>
      <c r="J34" s="36"/>
      <c r="K34" s="102">
        <f t="shared" si="9"/>
        <v>0</v>
      </c>
      <c r="L34" s="36"/>
      <c r="M34" s="102">
        <f t="shared" si="10"/>
        <v>0</v>
      </c>
      <c r="N34" s="36"/>
      <c r="O34" s="102">
        <f t="shared" si="11"/>
        <v>0</v>
      </c>
      <c r="P34" s="102">
        <f t="shared" si="12"/>
        <v>0</v>
      </c>
      <c r="Q34" s="102">
        <f t="shared" si="13"/>
        <v>0</v>
      </c>
      <c r="S34" s="2"/>
      <c r="T34" s="2"/>
    </row>
    <row r="35" spans="4:20" hidden="1" outlineLevel="1">
      <c r="E35" s="3" t="str">
        <f>PlayerPool!B27</f>
        <v>T Tsotsobe</v>
      </c>
      <c r="F35" s="36"/>
      <c r="G35" s="102">
        <f t="shared" si="7"/>
        <v>0</v>
      </c>
      <c r="H35" s="36"/>
      <c r="I35" s="102">
        <f t="shared" si="8"/>
        <v>0</v>
      </c>
      <c r="J35" s="36"/>
      <c r="K35" s="102">
        <f t="shared" si="9"/>
        <v>0</v>
      </c>
      <c r="L35" s="36"/>
      <c r="M35" s="102">
        <f t="shared" si="10"/>
        <v>0</v>
      </c>
      <c r="N35" s="36"/>
      <c r="O35" s="102">
        <f t="shared" si="11"/>
        <v>0</v>
      </c>
      <c r="P35" s="102">
        <f t="shared" si="12"/>
        <v>0</v>
      </c>
      <c r="Q35" s="102">
        <f t="shared" si="13"/>
        <v>0</v>
      </c>
      <c r="S35" s="2"/>
      <c r="T35" s="2"/>
    </row>
    <row r="36" spans="4:20" hidden="1" outlineLevel="1">
      <c r="E36" s="3" t="str">
        <f>PlayerPool!B28</f>
        <v>Morne Van Wyk</v>
      </c>
      <c r="F36" s="36"/>
      <c r="G36" s="102">
        <f t="shared" si="7"/>
        <v>0</v>
      </c>
      <c r="H36" s="36"/>
      <c r="I36" s="102">
        <f t="shared" si="8"/>
        <v>0</v>
      </c>
      <c r="J36" s="36"/>
      <c r="K36" s="102">
        <f t="shared" si="9"/>
        <v>0</v>
      </c>
      <c r="L36" s="36"/>
      <c r="M36" s="102">
        <f t="shared" si="10"/>
        <v>0</v>
      </c>
      <c r="N36" s="36"/>
      <c r="O36" s="102">
        <f t="shared" si="11"/>
        <v>0</v>
      </c>
      <c r="P36" s="102">
        <f t="shared" si="12"/>
        <v>0</v>
      </c>
      <c r="Q36" s="102">
        <f t="shared" si="13"/>
        <v>0</v>
      </c>
      <c r="S36" s="2"/>
      <c r="T36" s="2"/>
    </row>
    <row r="37" spans="4:20" hidden="1" outlineLevel="1">
      <c r="E37" s="3" t="str">
        <f>PlayerPool!B29</f>
        <v>J Botha</v>
      </c>
      <c r="F37" s="36"/>
      <c r="G37" s="102">
        <f t="shared" si="7"/>
        <v>0</v>
      </c>
      <c r="H37" s="36"/>
      <c r="I37" s="102">
        <f t="shared" si="8"/>
        <v>0</v>
      </c>
      <c r="J37" s="36"/>
      <c r="K37" s="102">
        <f t="shared" si="9"/>
        <v>0</v>
      </c>
      <c r="L37" s="36"/>
      <c r="M37" s="102">
        <f t="shared" si="10"/>
        <v>0</v>
      </c>
      <c r="N37" s="36"/>
      <c r="O37" s="102">
        <f t="shared" si="11"/>
        <v>0</v>
      </c>
      <c r="P37" s="102">
        <f t="shared" si="12"/>
        <v>0</v>
      </c>
      <c r="Q37" s="102">
        <f t="shared" si="13"/>
        <v>0</v>
      </c>
      <c r="S37" s="2"/>
      <c r="T37" s="2"/>
    </row>
    <row r="38" spans="4:20" hidden="1" outlineLevel="1">
      <c r="E38" s="3" t="str">
        <f>PlayerPool!B30</f>
        <v>Dale Steyn</v>
      </c>
      <c r="F38" s="36"/>
      <c r="G38" s="102">
        <f t="shared" si="7"/>
        <v>0</v>
      </c>
      <c r="H38" s="36"/>
      <c r="I38" s="102">
        <f t="shared" si="8"/>
        <v>0</v>
      </c>
      <c r="J38" s="36"/>
      <c r="K38" s="102">
        <f t="shared" si="9"/>
        <v>0</v>
      </c>
      <c r="L38" s="36"/>
      <c r="M38" s="102">
        <f t="shared" si="10"/>
        <v>0</v>
      </c>
      <c r="N38" s="36"/>
      <c r="O38" s="102">
        <f t="shared" si="11"/>
        <v>0</v>
      </c>
      <c r="P38" s="102">
        <f t="shared" si="12"/>
        <v>0</v>
      </c>
      <c r="Q38" s="102">
        <f t="shared" si="13"/>
        <v>0</v>
      </c>
      <c r="S38" s="2"/>
      <c r="T38" s="2"/>
    </row>
    <row r="39" spans="4:20" hidden="1" outlineLevel="1">
      <c r="E39" s="3" t="str">
        <f>PlayerPool!B31</f>
        <v>Morne Morkel</v>
      </c>
      <c r="F39" s="36"/>
      <c r="G39" s="102">
        <f t="shared" si="7"/>
        <v>0</v>
      </c>
      <c r="H39" s="36"/>
      <c r="I39" s="102">
        <f t="shared" si="8"/>
        <v>0</v>
      </c>
      <c r="J39" s="36"/>
      <c r="K39" s="102">
        <f t="shared" si="9"/>
        <v>0</v>
      </c>
      <c r="L39" s="36"/>
      <c r="M39" s="102">
        <f t="shared" si="10"/>
        <v>0</v>
      </c>
      <c r="N39" s="36"/>
      <c r="O39" s="102">
        <f t="shared" si="11"/>
        <v>0</v>
      </c>
      <c r="P39" s="102">
        <f t="shared" si="12"/>
        <v>0</v>
      </c>
      <c r="Q39" s="102">
        <f t="shared" si="13"/>
        <v>0</v>
      </c>
      <c r="S39" s="2"/>
      <c r="T39" s="2"/>
    </row>
    <row r="40" spans="4:20" hidden="1" outlineLevel="1">
      <c r="E40" s="3" t="str">
        <f>PlayerPool!B32</f>
        <v>T Parnell</v>
      </c>
      <c r="F40" s="36"/>
      <c r="G40" s="102">
        <f t="shared" si="7"/>
        <v>0</v>
      </c>
      <c r="H40" s="36"/>
      <c r="I40" s="102">
        <f t="shared" si="8"/>
        <v>0</v>
      </c>
      <c r="J40" s="36"/>
      <c r="K40" s="102">
        <f t="shared" si="9"/>
        <v>0</v>
      </c>
      <c r="L40" s="36"/>
      <c r="M40" s="102">
        <f t="shared" si="10"/>
        <v>0</v>
      </c>
      <c r="N40" s="36"/>
      <c r="O40" s="102">
        <f t="shared" si="11"/>
        <v>0</v>
      </c>
      <c r="P40" s="102">
        <f t="shared" si="12"/>
        <v>0</v>
      </c>
      <c r="Q40" s="102">
        <f t="shared" si="13"/>
        <v>0</v>
      </c>
      <c r="S40" s="2"/>
      <c r="T40" s="2"/>
    </row>
    <row r="41" spans="4:20" collapsed="1">
      <c r="D41" s="5" t="s">
        <v>96</v>
      </c>
      <c r="F41" s="105">
        <f>SUM(F42:F56)</f>
        <v>0</v>
      </c>
      <c r="G41" s="104">
        <f t="shared" ref="G41" si="26">SUM(G42:G56)</f>
        <v>0</v>
      </c>
      <c r="H41" s="105">
        <f t="shared" ref="H41" si="27">SUM(H42:H56)</f>
        <v>0</v>
      </c>
      <c r="I41" s="104">
        <f t="shared" ref="I41" si="28">SUM(I42:I56)</f>
        <v>0</v>
      </c>
      <c r="J41" s="105">
        <f t="shared" ref="J41" si="29">SUM(J42:J56)</f>
        <v>0</v>
      </c>
      <c r="K41" s="104">
        <f t="shared" ref="K41" si="30">SUM(K42:K56)</f>
        <v>0</v>
      </c>
      <c r="L41" s="105">
        <f t="shared" ref="L41" si="31">SUM(L42:L56)</f>
        <v>0</v>
      </c>
      <c r="M41" s="104">
        <f t="shared" ref="M41" si="32">SUM(M42:M56)</f>
        <v>0</v>
      </c>
      <c r="N41" s="105">
        <f t="shared" ref="N41" si="33">SUM(N42:N56)</f>
        <v>0</v>
      </c>
      <c r="O41" s="104">
        <f t="shared" ref="O41" si="34">SUM(O42:O56)</f>
        <v>0</v>
      </c>
      <c r="P41" s="105">
        <f t="shared" ref="P41" si="35">SUM(P42:P56)</f>
        <v>0</v>
      </c>
      <c r="Q41" s="104">
        <f t="shared" ref="Q41" si="36">SUM(Q42:Q56)</f>
        <v>0</v>
      </c>
      <c r="S41" s="2"/>
      <c r="T41" s="2"/>
    </row>
    <row r="42" spans="4:20" hidden="1" outlineLevel="1">
      <c r="E42" s="3" t="str">
        <f>PlayerPool!B33</f>
        <v>Ricky Ponting</v>
      </c>
      <c r="F42" s="36"/>
      <c r="G42" s="102">
        <f t="shared" si="7"/>
        <v>0</v>
      </c>
      <c r="H42" s="36"/>
      <c r="I42" s="102">
        <f t="shared" si="8"/>
        <v>0</v>
      </c>
      <c r="J42" s="36"/>
      <c r="K42" s="102">
        <f t="shared" si="9"/>
        <v>0</v>
      </c>
      <c r="L42" s="36"/>
      <c r="M42" s="102">
        <f t="shared" si="10"/>
        <v>0</v>
      </c>
      <c r="N42" s="36"/>
      <c r="O42" s="102">
        <f t="shared" si="11"/>
        <v>0</v>
      </c>
      <c r="P42" s="102">
        <f t="shared" si="12"/>
        <v>0</v>
      </c>
      <c r="Q42" s="102">
        <f t="shared" si="13"/>
        <v>0</v>
      </c>
      <c r="S42" s="2"/>
      <c r="T42" s="2"/>
    </row>
    <row r="43" spans="4:20" hidden="1" outlineLevel="1">
      <c r="E43" s="3" t="str">
        <f>PlayerPool!B34</f>
        <v>Michael Clarke</v>
      </c>
      <c r="F43" s="36"/>
      <c r="G43" s="102">
        <f t="shared" si="7"/>
        <v>0</v>
      </c>
      <c r="H43" s="36"/>
      <c r="I43" s="102">
        <f t="shared" si="8"/>
        <v>0</v>
      </c>
      <c r="J43" s="36"/>
      <c r="K43" s="102">
        <f t="shared" si="9"/>
        <v>0</v>
      </c>
      <c r="L43" s="36"/>
      <c r="M43" s="102">
        <f t="shared" si="10"/>
        <v>0</v>
      </c>
      <c r="N43" s="36"/>
      <c r="O43" s="102">
        <f t="shared" si="11"/>
        <v>0</v>
      </c>
      <c r="P43" s="102">
        <f t="shared" si="12"/>
        <v>0</v>
      </c>
      <c r="Q43" s="102">
        <f t="shared" si="13"/>
        <v>0</v>
      </c>
      <c r="S43" s="2"/>
      <c r="T43" s="2"/>
    </row>
    <row r="44" spans="4:20" hidden="1" outlineLevel="1">
      <c r="E44" s="3" t="str">
        <f>PlayerPool!B35</f>
        <v>Doug Bollinger</v>
      </c>
      <c r="F44" s="36"/>
      <c r="G44" s="102">
        <f t="shared" si="7"/>
        <v>0</v>
      </c>
      <c r="H44" s="36"/>
      <c r="I44" s="102">
        <f t="shared" si="8"/>
        <v>0</v>
      </c>
      <c r="J44" s="36"/>
      <c r="K44" s="102">
        <f t="shared" si="9"/>
        <v>0</v>
      </c>
      <c r="L44" s="36"/>
      <c r="M44" s="102">
        <f t="shared" si="10"/>
        <v>0</v>
      </c>
      <c r="N44" s="36"/>
      <c r="O44" s="102">
        <f t="shared" si="11"/>
        <v>0</v>
      </c>
      <c r="P44" s="102">
        <f t="shared" si="12"/>
        <v>0</v>
      </c>
      <c r="Q44" s="102">
        <f t="shared" si="13"/>
        <v>0</v>
      </c>
      <c r="S44" s="2"/>
      <c r="T44" s="2"/>
    </row>
    <row r="45" spans="4:20" hidden="1" outlineLevel="1">
      <c r="E45" s="3" t="str">
        <f>PlayerPool!B36</f>
        <v>Callum Ferguson</v>
      </c>
      <c r="F45" s="36"/>
      <c r="G45" s="102">
        <f t="shared" si="7"/>
        <v>0</v>
      </c>
      <c r="H45" s="36"/>
      <c r="I45" s="102">
        <f t="shared" si="8"/>
        <v>0</v>
      </c>
      <c r="J45" s="36"/>
      <c r="K45" s="102">
        <f t="shared" si="9"/>
        <v>0</v>
      </c>
      <c r="L45" s="36"/>
      <c r="M45" s="102">
        <f t="shared" si="10"/>
        <v>0</v>
      </c>
      <c r="N45" s="36"/>
      <c r="O45" s="102">
        <f t="shared" si="11"/>
        <v>0</v>
      </c>
      <c r="P45" s="102">
        <f t="shared" si="12"/>
        <v>0</v>
      </c>
      <c r="Q45" s="102">
        <f t="shared" si="13"/>
        <v>0</v>
      </c>
      <c r="S45" s="2"/>
      <c r="T45" s="2"/>
    </row>
    <row r="46" spans="4:20" hidden="1" outlineLevel="1">
      <c r="E46" s="3" t="str">
        <f>PlayerPool!B37</f>
        <v>Brad Haddin</v>
      </c>
      <c r="F46" s="36"/>
      <c r="G46" s="102">
        <f t="shared" si="7"/>
        <v>0</v>
      </c>
      <c r="H46" s="36"/>
      <c r="I46" s="102">
        <f t="shared" si="8"/>
        <v>0</v>
      </c>
      <c r="J46" s="36"/>
      <c r="K46" s="102">
        <f t="shared" si="9"/>
        <v>0</v>
      </c>
      <c r="L46" s="36"/>
      <c r="M46" s="102">
        <f t="shared" si="10"/>
        <v>0</v>
      </c>
      <c r="N46" s="36"/>
      <c r="O46" s="102">
        <f t="shared" si="11"/>
        <v>0</v>
      </c>
      <c r="P46" s="102">
        <f t="shared" si="12"/>
        <v>0</v>
      </c>
      <c r="Q46" s="102">
        <f t="shared" si="13"/>
        <v>0</v>
      </c>
      <c r="S46" s="2"/>
      <c r="T46" s="2"/>
    </row>
    <row r="47" spans="4:20" hidden="1" outlineLevel="1">
      <c r="E47" s="3" t="str">
        <f>PlayerPool!B38</f>
        <v>John Hastings</v>
      </c>
      <c r="F47" s="36"/>
      <c r="G47" s="102">
        <f t="shared" si="7"/>
        <v>0</v>
      </c>
      <c r="H47" s="36"/>
      <c r="I47" s="102">
        <f t="shared" si="8"/>
        <v>0</v>
      </c>
      <c r="J47" s="36"/>
      <c r="K47" s="102">
        <f t="shared" si="9"/>
        <v>0</v>
      </c>
      <c r="L47" s="36"/>
      <c r="M47" s="102">
        <f t="shared" si="10"/>
        <v>0</v>
      </c>
      <c r="N47" s="36"/>
      <c r="O47" s="102">
        <f t="shared" si="11"/>
        <v>0</v>
      </c>
      <c r="P47" s="102">
        <f t="shared" si="12"/>
        <v>0</v>
      </c>
      <c r="Q47" s="102">
        <f t="shared" si="13"/>
        <v>0</v>
      </c>
      <c r="S47" s="2"/>
      <c r="T47" s="2"/>
    </row>
    <row r="48" spans="4:20" hidden="1" outlineLevel="1">
      <c r="E48" s="3" t="str">
        <f>PlayerPool!B39</f>
        <v>David Hussey</v>
      </c>
      <c r="F48" s="36"/>
      <c r="G48" s="102">
        <f t="shared" si="7"/>
        <v>0</v>
      </c>
      <c r="H48" s="36"/>
      <c r="I48" s="102">
        <f t="shared" si="8"/>
        <v>0</v>
      </c>
      <c r="J48" s="36"/>
      <c r="K48" s="102">
        <f t="shared" si="9"/>
        <v>0</v>
      </c>
      <c r="L48" s="36"/>
      <c r="M48" s="102">
        <f t="shared" si="10"/>
        <v>0</v>
      </c>
      <c r="N48" s="36"/>
      <c r="O48" s="102">
        <f t="shared" si="11"/>
        <v>0</v>
      </c>
      <c r="P48" s="102">
        <f t="shared" si="12"/>
        <v>0</v>
      </c>
      <c r="Q48" s="102">
        <f t="shared" si="13"/>
        <v>0</v>
      </c>
      <c r="S48" s="2"/>
      <c r="T48" s="2"/>
    </row>
    <row r="49" spans="4:20" hidden="1" outlineLevel="1">
      <c r="E49" s="3" t="str">
        <f>PlayerPool!B40</f>
        <v>Mitchell Johnson</v>
      </c>
      <c r="F49" s="36"/>
      <c r="G49" s="102">
        <f t="shared" si="7"/>
        <v>0</v>
      </c>
      <c r="H49" s="36"/>
      <c r="I49" s="102">
        <f t="shared" si="8"/>
        <v>0</v>
      </c>
      <c r="J49" s="36"/>
      <c r="K49" s="102">
        <f t="shared" si="9"/>
        <v>0</v>
      </c>
      <c r="L49" s="36"/>
      <c r="M49" s="102">
        <f t="shared" si="10"/>
        <v>0</v>
      </c>
      <c r="N49" s="36"/>
      <c r="O49" s="102">
        <f t="shared" si="11"/>
        <v>0</v>
      </c>
      <c r="P49" s="102">
        <f t="shared" si="12"/>
        <v>0</v>
      </c>
      <c r="Q49" s="102">
        <f t="shared" si="13"/>
        <v>0</v>
      </c>
      <c r="S49" s="2"/>
      <c r="T49" s="2"/>
    </row>
    <row r="50" spans="4:20" hidden="1" outlineLevel="1">
      <c r="E50" s="3" t="str">
        <f>PlayerPool!B41</f>
        <v>Jason Krejza</v>
      </c>
      <c r="F50" s="36"/>
      <c r="G50" s="102">
        <f t="shared" si="7"/>
        <v>0</v>
      </c>
      <c r="H50" s="36"/>
      <c r="I50" s="102">
        <f t="shared" si="8"/>
        <v>0</v>
      </c>
      <c r="J50" s="36"/>
      <c r="K50" s="102">
        <f t="shared" si="9"/>
        <v>0</v>
      </c>
      <c r="L50" s="36"/>
      <c r="M50" s="102">
        <f t="shared" si="10"/>
        <v>0</v>
      </c>
      <c r="N50" s="36"/>
      <c r="O50" s="102">
        <f t="shared" si="11"/>
        <v>0</v>
      </c>
      <c r="P50" s="102">
        <f t="shared" si="12"/>
        <v>0</v>
      </c>
      <c r="Q50" s="102">
        <f t="shared" si="13"/>
        <v>0</v>
      </c>
      <c r="S50" s="2"/>
      <c r="T50" s="2"/>
    </row>
    <row r="51" spans="4:20" hidden="1" outlineLevel="1">
      <c r="E51" s="3" t="str">
        <f>PlayerPool!B42</f>
        <v>Brett Lee</v>
      </c>
      <c r="F51" s="36"/>
      <c r="G51" s="102">
        <f t="shared" si="7"/>
        <v>0</v>
      </c>
      <c r="H51" s="36"/>
      <c r="I51" s="102">
        <f t="shared" si="8"/>
        <v>0</v>
      </c>
      <c r="J51" s="36"/>
      <c r="K51" s="102">
        <f t="shared" si="9"/>
        <v>0</v>
      </c>
      <c r="L51" s="36"/>
      <c r="M51" s="102">
        <f t="shared" si="10"/>
        <v>0</v>
      </c>
      <c r="N51" s="36"/>
      <c r="O51" s="102">
        <f t="shared" si="11"/>
        <v>0</v>
      </c>
      <c r="P51" s="102">
        <f t="shared" si="12"/>
        <v>0</v>
      </c>
      <c r="Q51" s="102">
        <f t="shared" si="13"/>
        <v>0</v>
      </c>
      <c r="S51" s="2"/>
      <c r="T51" s="2"/>
    </row>
    <row r="52" spans="4:20" hidden="1" outlineLevel="1">
      <c r="E52" s="3" t="str">
        <f>PlayerPool!B43</f>
        <v>Tim Paine</v>
      </c>
      <c r="F52" s="36"/>
      <c r="G52" s="102">
        <f t="shared" si="7"/>
        <v>0</v>
      </c>
      <c r="H52" s="36"/>
      <c r="I52" s="102">
        <f t="shared" si="8"/>
        <v>0</v>
      </c>
      <c r="J52" s="36"/>
      <c r="K52" s="102">
        <f t="shared" si="9"/>
        <v>0</v>
      </c>
      <c r="L52" s="36"/>
      <c r="M52" s="102">
        <f t="shared" si="10"/>
        <v>0</v>
      </c>
      <c r="N52" s="36"/>
      <c r="O52" s="102">
        <f t="shared" si="11"/>
        <v>0</v>
      </c>
      <c r="P52" s="102">
        <f t="shared" si="12"/>
        <v>0</v>
      </c>
      <c r="Q52" s="102">
        <f t="shared" si="13"/>
        <v>0</v>
      </c>
      <c r="S52" s="2"/>
      <c r="T52" s="2"/>
    </row>
    <row r="53" spans="4:20" hidden="1" outlineLevel="1">
      <c r="E53" s="3" t="str">
        <f>PlayerPool!B44</f>
        <v>Steven Smith</v>
      </c>
      <c r="F53" s="36"/>
      <c r="G53" s="102">
        <f t="shared" si="7"/>
        <v>0</v>
      </c>
      <c r="H53" s="36"/>
      <c r="I53" s="102">
        <f t="shared" si="8"/>
        <v>0</v>
      </c>
      <c r="J53" s="36"/>
      <c r="K53" s="102">
        <f t="shared" si="9"/>
        <v>0</v>
      </c>
      <c r="L53" s="36"/>
      <c r="M53" s="102">
        <f t="shared" si="10"/>
        <v>0</v>
      </c>
      <c r="N53" s="36"/>
      <c r="O53" s="102">
        <f t="shared" si="11"/>
        <v>0</v>
      </c>
      <c r="P53" s="102">
        <f t="shared" si="12"/>
        <v>0</v>
      </c>
      <c r="Q53" s="102">
        <f t="shared" si="13"/>
        <v>0</v>
      </c>
      <c r="S53" s="2"/>
      <c r="T53" s="2"/>
    </row>
    <row r="54" spans="4:20" hidden="1" outlineLevel="1">
      <c r="E54" s="3" t="str">
        <f>PlayerPool!B45</f>
        <v>Shaun Tait</v>
      </c>
      <c r="F54" s="36"/>
      <c r="G54" s="102">
        <f t="shared" si="7"/>
        <v>0</v>
      </c>
      <c r="H54" s="36"/>
      <c r="I54" s="102">
        <f t="shared" si="8"/>
        <v>0</v>
      </c>
      <c r="J54" s="36"/>
      <c r="K54" s="102">
        <f t="shared" si="9"/>
        <v>0</v>
      </c>
      <c r="L54" s="36"/>
      <c r="M54" s="102">
        <f t="shared" si="10"/>
        <v>0</v>
      </c>
      <c r="N54" s="36"/>
      <c r="O54" s="102">
        <f t="shared" si="11"/>
        <v>0</v>
      </c>
      <c r="P54" s="102">
        <f t="shared" si="12"/>
        <v>0</v>
      </c>
      <c r="Q54" s="102">
        <f t="shared" si="13"/>
        <v>0</v>
      </c>
      <c r="S54" s="2"/>
      <c r="T54" s="2"/>
    </row>
    <row r="55" spans="4:20" hidden="1" outlineLevel="1">
      <c r="E55" s="3" t="str">
        <f>PlayerPool!B46</f>
        <v>Shane Watson</v>
      </c>
      <c r="F55" s="36"/>
      <c r="G55" s="102">
        <f t="shared" si="7"/>
        <v>0</v>
      </c>
      <c r="H55" s="36"/>
      <c r="I55" s="102">
        <f t="shared" si="8"/>
        <v>0</v>
      </c>
      <c r="J55" s="36"/>
      <c r="K55" s="102">
        <f t="shared" si="9"/>
        <v>0</v>
      </c>
      <c r="L55" s="36"/>
      <c r="M55" s="102">
        <f t="shared" si="10"/>
        <v>0</v>
      </c>
      <c r="N55" s="36"/>
      <c r="O55" s="102">
        <f t="shared" si="11"/>
        <v>0</v>
      </c>
      <c r="P55" s="102">
        <f t="shared" si="12"/>
        <v>0</v>
      </c>
      <c r="Q55" s="102">
        <f t="shared" si="13"/>
        <v>0</v>
      </c>
      <c r="S55" s="2"/>
      <c r="T55" s="2"/>
    </row>
    <row r="56" spans="4:20" hidden="1" outlineLevel="1">
      <c r="E56" s="3" t="str">
        <f>PlayerPool!B47</f>
        <v>Cameron White</v>
      </c>
      <c r="F56" s="36"/>
      <c r="G56" s="102">
        <f t="shared" si="7"/>
        <v>0</v>
      </c>
      <c r="H56" s="36"/>
      <c r="I56" s="102">
        <f t="shared" si="8"/>
        <v>0</v>
      </c>
      <c r="J56" s="36"/>
      <c r="K56" s="102">
        <f t="shared" si="9"/>
        <v>0</v>
      </c>
      <c r="L56" s="36"/>
      <c r="M56" s="102">
        <f t="shared" si="10"/>
        <v>0</v>
      </c>
      <c r="N56" s="36"/>
      <c r="O56" s="102">
        <f t="shared" si="11"/>
        <v>0</v>
      </c>
      <c r="P56" s="102">
        <f t="shared" si="12"/>
        <v>0</v>
      </c>
      <c r="Q56" s="102">
        <f t="shared" si="13"/>
        <v>0</v>
      </c>
      <c r="S56" s="2"/>
      <c r="T56" s="2"/>
    </row>
    <row r="57" spans="4:20" collapsed="1">
      <c r="D57" s="5" t="s">
        <v>97</v>
      </c>
      <c r="F57" s="105">
        <f>SUM(F58:F72)</f>
        <v>0</v>
      </c>
      <c r="G57" s="104">
        <f t="shared" ref="G57" si="37">SUM(G58:G72)</f>
        <v>0</v>
      </c>
      <c r="H57" s="105">
        <f t="shared" ref="H57" si="38">SUM(H58:H72)</f>
        <v>0</v>
      </c>
      <c r="I57" s="104">
        <f t="shared" ref="I57" si="39">SUM(I58:I72)</f>
        <v>0</v>
      </c>
      <c r="J57" s="105">
        <f t="shared" ref="J57" si="40">SUM(J58:J72)</f>
        <v>0</v>
      </c>
      <c r="K57" s="104">
        <f t="shared" ref="K57" si="41">SUM(K58:K72)</f>
        <v>0</v>
      </c>
      <c r="L57" s="105">
        <f t="shared" ref="L57" si="42">SUM(L58:L72)</f>
        <v>0</v>
      </c>
      <c r="M57" s="104">
        <f t="shared" ref="M57" si="43">SUM(M58:M72)</f>
        <v>0</v>
      </c>
      <c r="N57" s="105">
        <f t="shared" ref="N57" si="44">SUM(N58:N72)</f>
        <v>0</v>
      </c>
      <c r="O57" s="104">
        <f>SUM(O58:O72)</f>
        <v>0</v>
      </c>
      <c r="P57" s="105">
        <f t="shared" ref="P57" si="45">SUM(P58:P72)</f>
        <v>0</v>
      </c>
      <c r="Q57" s="104">
        <f t="shared" ref="Q57" si="46">SUM(Q58:Q72)</f>
        <v>0</v>
      </c>
      <c r="S57" s="2"/>
      <c r="T57" s="2"/>
    </row>
    <row r="58" spans="4:20" hidden="1" outlineLevel="1">
      <c r="E58" s="3" t="str">
        <f>PlayerPool!B48</f>
        <v>Andrew Strauss</v>
      </c>
      <c r="F58" s="36"/>
      <c r="G58" s="102">
        <f t="shared" si="7"/>
        <v>0</v>
      </c>
      <c r="H58" s="36"/>
      <c r="I58" s="102">
        <f t="shared" si="8"/>
        <v>0</v>
      </c>
      <c r="J58" s="36"/>
      <c r="K58" s="102">
        <f t="shared" si="9"/>
        <v>0</v>
      </c>
      <c r="L58" s="36"/>
      <c r="M58" s="102">
        <f t="shared" si="10"/>
        <v>0</v>
      </c>
      <c r="N58" s="36"/>
      <c r="O58" s="102">
        <f t="shared" si="11"/>
        <v>0</v>
      </c>
      <c r="P58" s="102">
        <f t="shared" si="12"/>
        <v>0</v>
      </c>
      <c r="Q58" s="102">
        <f t="shared" si="13"/>
        <v>0</v>
      </c>
      <c r="S58" s="2"/>
      <c r="T58" s="2"/>
    </row>
    <row r="59" spans="4:20" hidden="1" outlineLevel="1">
      <c r="E59" s="3" t="str">
        <f>PlayerPool!B49</f>
        <v>James Anderson</v>
      </c>
      <c r="F59" s="36"/>
      <c r="G59" s="102">
        <f t="shared" si="7"/>
        <v>0</v>
      </c>
      <c r="H59" s="36"/>
      <c r="I59" s="102">
        <f t="shared" si="8"/>
        <v>0</v>
      </c>
      <c r="J59" s="36"/>
      <c r="K59" s="102">
        <f t="shared" si="9"/>
        <v>0</v>
      </c>
      <c r="L59" s="36"/>
      <c r="M59" s="102">
        <f t="shared" si="10"/>
        <v>0</v>
      </c>
      <c r="N59" s="36"/>
      <c r="O59" s="102">
        <f t="shared" si="11"/>
        <v>0</v>
      </c>
      <c r="P59" s="102">
        <f t="shared" si="12"/>
        <v>0</v>
      </c>
      <c r="Q59" s="102">
        <f t="shared" si="13"/>
        <v>0</v>
      </c>
      <c r="S59" s="2"/>
      <c r="T59" s="2"/>
    </row>
    <row r="60" spans="4:20" hidden="1" outlineLevel="1">
      <c r="E60" s="3" t="str">
        <f>PlayerPool!B50</f>
        <v>Ian Bell</v>
      </c>
      <c r="F60" s="36"/>
      <c r="G60" s="102">
        <f t="shared" si="7"/>
        <v>0</v>
      </c>
      <c r="H60" s="36"/>
      <c r="I60" s="102">
        <f t="shared" si="8"/>
        <v>0</v>
      </c>
      <c r="J60" s="36"/>
      <c r="K60" s="102">
        <f t="shared" si="9"/>
        <v>0</v>
      </c>
      <c r="L60" s="36"/>
      <c r="M60" s="102">
        <f t="shared" si="10"/>
        <v>0</v>
      </c>
      <c r="N60" s="36"/>
      <c r="O60" s="102">
        <f t="shared" si="11"/>
        <v>0</v>
      </c>
      <c r="P60" s="102">
        <f t="shared" si="12"/>
        <v>0</v>
      </c>
      <c r="Q60" s="102">
        <f t="shared" si="13"/>
        <v>0</v>
      </c>
      <c r="S60" s="2"/>
      <c r="T60" s="2"/>
    </row>
    <row r="61" spans="4:20" hidden="1" outlineLevel="1">
      <c r="E61" s="3" t="str">
        <f>PlayerPool!B51</f>
        <v>Ravi Bopara</v>
      </c>
      <c r="F61" s="36"/>
      <c r="G61" s="102">
        <f t="shared" si="7"/>
        <v>0</v>
      </c>
      <c r="H61" s="36"/>
      <c r="I61" s="102">
        <f t="shared" si="8"/>
        <v>0</v>
      </c>
      <c r="J61" s="36"/>
      <c r="K61" s="102">
        <f t="shared" si="9"/>
        <v>0</v>
      </c>
      <c r="L61" s="36"/>
      <c r="M61" s="102">
        <f t="shared" si="10"/>
        <v>0</v>
      </c>
      <c r="N61" s="36"/>
      <c r="O61" s="102">
        <f t="shared" si="11"/>
        <v>0</v>
      </c>
      <c r="P61" s="102">
        <f t="shared" si="12"/>
        <v>0</v>
      </c>
      <c r="Q61" s="102">
        <f t="shared" si="13"/>
        <v>0</v>
      </c>
      <c r="S61" s="2"/>
      <c r="T61" s="2"/>
    </row>
    <row r="62" spans="4:20" hidden="1" outlineLevel="1">
      <c r="E62" s="3" t="str">
        <f>PlayerPool!B52</f>
        <v>Tim Bresnan</v>
      </c>
      <c r="F62" s="36"/>
      <c r="G62" s="102">
        <f t="shared" si="7"/>
        <v>0</v>
      </c>
      <c r="H62" s="36"/>
      <c r="I62" s="102">
        <f t="shared" si="8"/>
        <v>0</v>
      </c>
      <c r="J62" s="36"/>
      <c r="K62" s="102">
        <f t="shared" si="9"/>
        <v>0</v>
      </c>
      <c r="L62" s="36"/>
      <c r="M62" s="102">
        <f t="shared" si="10"/>
        <v>0</v>
      </c>
      <c r="N62" s="36"/>
      <c r="O62" s="102">
        <f t="shared" si="11"/>
        <v>0</v>
      </c>
      <c r="P62" s="102">
        <f t="shared" si="12"/>
        <v>0</v>
      </c>
      <c r="Q62" s="102">
        <f t="shared" si="13"/>
        <v>0</v>
      </c>
      <c r="S62" s="2"/>
      <c r="T62" s="2"/>
    </row>
    <row r="63" spans="4:20" hidden="1" outlineLevel="1">
      <c r="E63" s="3" t="str">
        <f>PlayerPool!B53</f>
        <v>Stuart Broad</v>
      </c>
      <c r="F63" s="36"/>
      <c r="G63" s="102">
        <f t="shared" si="7"/>
        <v>0</v>
      </c>
      <c r="H63" s="36"/>
      <c r="I63" s="102">
        <f t="shared" si="8"/>
        <v>0</v>
      </c>
      <c r="J63" s="36"/>
      <c r="K63" s="102">
        <f t="shared" si="9"/>
        <v>0</v>
      </c>
      <c r="L63" s="36"/>
      <c r="M63" s="102">
        <f t="shared" si="10"/>
        <v>0</v>
      </c>
      <c r="N63" s="36"/>
      <c r="O63" s="102">
        <f t="shared" si="11"/>
        <v>0</v>
      </c>
      <c r="P63" s="102">
        <f t="shared" si="12"/>
        <v>0</v>
      </c>
      <c r="Q63" s="102">
        <f t="shared" si="13"/>
        <v>0</v>
      </c>
      <c r="S63" s="2"/>
      <c r="T63" s="2"/>
    </row>
    <row r="64" spans="4:20" hidden="1" outlineLevel="1">
      <c r="E64" s="3" t="str">
        <f>PlayerPool!B54</f>
        <v>Paul Collingwood</v>
      </c>
      <c r="F64" s="36"/>
      <c r="G64" s="102">
        <f t="shared" si="7"/>
        <v>0</v>
      </c>
      <c r="H64" s="36"/>
      <c r="I64" s="102">
        <f t="shared" si="8"/>
        <v>0</v>
      </c>
      <c r="J64" s="36"/>
      <c r="K64" s="102">
        <f t="shared" si="9"/>
        <v>0</v>
      </c>
      <c r="L64" s="36"/>
      <c r="M64" s="102">
        <f t="shared" si="10"/>
        <v>0</v>
      </c>
      <c r="N64" s="36"/>
      <c r="O64" s="102">
        <f t="shared" si="11"/>
        <v>0</v>
      </c>
      <c r="P64" s="102">
        <f t="shared" si="12"/>
        <v>0</v>
      </c>
      <c r="Q64" s="102">
        <f t="shared" si="13"/>
        <v>0</v>
      </c>
      <c r="S64" s="2"/>
      <c r="T64" s="2"/>
    </row>
    <row r="65" spans="4:20" hidden="1" outlineLevel="1">
      <c r="E65" s="3" t="str">
        <f>PlayerPool!B55</f>
        <v>Kevin Pietersen</v>
      </c>
      <c r="F65" s="36"/>
      <c r="G65" s="102">
        <f t="shared" si="7"/>
        <v>0</v>
      </c>
      <c r="H65" s="36"/>
      <c r="I65" s="102">
        <f t="shared" si="8"/>
        <v>0</v>
      </c>
      <c r="J65" s="36"/>
      <c r="K65" s="102">
        <f t="shared" si="9"/>
        <v>0</v>
      </c>
      <c r="L65" s="36"/>
      <c r="M65" s="102">
        <f t="shared" si="10"/>
        <v>0</v>
      </c>
      <c r="N65" s="36"/>
      <c r="O65" s="102">
        <f t="shared" si="11"/>
        <v>0</v>
      </c>
      <c r="P65" s="102">
        <f t="shared" si="12"/>
        <v>0</v>
      </c>
      <c r="Q65" s="102">
        <f t="shared" si="13"/>
        <v>0</v>
      </c>
      <c r="S65" s="2"/>
      <c r="T65" s="2"/>
    </row>
    <row r="66" spans="4:20" hidden="1" outlineLevel="1">
      <c r="E66" s="3" t="str">
        <f>PlayerPool!B56</f>
        <v>Matt Prior</v>
      </c>
      <c r="F66" s="36"/>
      <c r="G66" s="102">
        <f t="shared" si="7"/>
        <v>0</v>
      </c>
      <c r="H66" s="36"/>
      <c r="I66" s="102">
        <f t="shared" si="8"/>
        <v>0</v>
      </c>
      <c r="J66" s="36"/>
      <c r="K66" s="102">
        <f t="shared" si="9"/>
        <v>0</v>
      </c>
      <c r="L66" s="36"/>
      <c r="M66" s="102">
        <f t="shared" si="10"/>
        <v>0</v>
      </c>
      <c r="N66" s="36"/>
      <c r="O66" s="102">
        <f t="shared" si="11"/>
        <v>0</v>
      </c>
      <c r="P66" s="102">
        <f t="shared" si="12"/>
        <v>0</v>
      </c>
      <c r="Q66" s="102">
        <f t="shared" si="13"/>
        <v>0</v>
      </c>
      <c r="S66" s="2"/>
      <c r="T66" s="2"/>
    </row>
    <row r="67" spans="4:20" hidden="1" outlineLevel="1">
      <c r="E67" s="3" t="str">
        <f>PlayerPool!B57</f>
        <v>Ajmal Shahzad</v>
      </c>
      <c r="F67" s="36"/>
      <c r="G67" s="102">
        <f t="shared" si="7"/>
        <v>0</v>
      </c>
      <c r="H67" s="36"/>
      <c r="I67" s="102">
        <f t="shared" si="8"/>
        <v>0</v>
      </c>
      <c r="J67" s="36"/>
      <c r="K67" s="102">
        <f t="shared" si="9"/>
        <v>0</v>
      </c>
      <c r="L67" s="36"/>
      <c r="M67" s="102">
        <f t="shared" si="10"/>
        <v>0</v>
      </c>
      <c r="N67" s="36"/>
      <c r="O67" s="102">
        <f t="shared" si="11"/>
        <v>0</v>
      </c>
      <c r="P67" s="102">
        <f t="shared" si="12"/>
        <v>0</v>
      </c>
      <c r="Q67" s="102">
        <f t="shared" si="13"/>
        <v>0</v>
      </c>
      <c r="S67" s="2"/>
      <c r="T67" s="2"/>
    </row>
    <row r="68" spans="4:20" hidden="1" outlineLevel="1">
      <c r="E68" s="3" t="str">
        <f>PlayerPool!B58</f>
        <v>Graeme Swann</v>
      </c>
      <c r="F68" s="36"/>
      <c r="G68" s="102">
        <f t="shared" si="7"/>
        <v>0</v>
      </c>
      <c r="H68" s="36"/>
      <c r="I68" s="102">
        <f t="shared" si="8"/>
        <v>0</v>
      </c>
      <c r="J68" s="36"/>
      <c r="K68" s="102">
        <f t="shared" si="9"/>
        <v>0</v>
      </c>
      <c r="L68" s="36"/>
      <c r="M68" s="102">
        <f t="shared" si="10"/>
        <v>0</v>
      </c>
      <c r="N68" s="36"/>
      <c r="O68" s="102">
        <f t="shared" si="11"/>
        <v>0</v>
      </c>
      <c r="P68" s="102">
        <f t="shared" si="12"/>
        <v>0</v>
      </c>
      <c r="Q68" s="102">
        <f t="shared" si="13"/>
        <v>0</v>
      </c>
      <c r="S68" s="2"/>
      <c r="T68" s="2"/>
    </row>
    <row r="69" spans="4:20" hidden="1" outlineLevel="1">
      <c r="E69" s="3" t="str">
        <f>PlayerPool!B59</f>
        <v>James Tredwell</v>
      </c>
      <c r="F69" s="36"/>
      <c r="G69" s="102">
        <f t="shared" si="7"/>
        <v>0</v>
      </c>
      <c r="H69" s="36"/>
      <c r="I69" s="102">
        <f t="shared" si="8"/>
        <v>0</v>
      </c>
      <c r="J69" s="36"/>
      <c r="K69" s="102">
        <f t="shared" si="9"/>
        <v>0</v>
      </c>
      <c r="L69" s="36"/>
      <c r="M69" s="102">
        <f t="shared" si="10"/>
        <v>0</v>
      </c>
      <c r="N69" s="36"/>
      <c r="O69" s="102">
        <f t="shared" si="11"/>
        <v>0</v>
      </c>
      <c r="P69" s="102">
        <f t="shared" si="12"/>
        <v>0</v>
      </c>
      <c r="Q69" s="102">
        <f t="shared" si="13"/>
        <v>0</v>
      </c>
      <c r="S69" s="2"/>
      <c r="T69" s="2"/>
    </row>
    <row r="70" spans="4:20" hidden="1" outlineLevel="1">
      <c r="E70" s="3" t="str">
        <f>PlayerPool!B60</f>
        <v>Jonathan Trott</v>
      </c>
      <c r="F70" s="36"/>
      <c r="G70" s="102">
        <f t="shared" si="7"/>
        <v>0</v>
      </c>
      <c r="H70" s="36"/>
      <c r="I70" s="102">
        <f t="shared" si="8"/>
        <v>0</v>
      </c>
      <c r="J70" s="36"/>
      <c r="K70" s="102">
        <f t="shared" si="9"/>
        <v>0</v>
      </c>
      <c r="L70" s="36"/>
      <c r="M70" s="102">
        <f t="shared" si="10"/>
        <v>0</v>
      </c>
      <c r="N70" s="36"/>
      <c r="O70" s="102">
        <f t="shared" si="11"/>
        <v>0</v>
      </c>
      <c r="P70" s="102">
        <f t="shared" si="12"/>
        <v>0</v>
      </c>
      <c r="Q70" s="102">
        <f t="shared" si="13"/>
        <v>0</v>
      </c>
      <c r="S70" s="2"/>
      <c r="T70" s="2"/>
    </row>
    <row r="71" spans="4:20" hidden="1" outlineLevel="1">
      <c r="E71" s="3" t="str">
        <f>PlayerPool!B61</f>
        <v>Luke Wright</v>
      </c>
      <c r="F71" s="36"/>
      <c r="G71" s="102">
        <f t="shared" si="7"/>
        <v>0</v>
      </c>
      <c r="H71" s="36"/>
      <c r="I71" s="102">
        <f t="shared" si="8"/>
        <v>0</v>
      </c>
      <c r="J71" s="36"/>
      <c r="K71" s="102">
        <f t="shared" si="9"/>
        <v>0</v>
      </c>
      <c r="L71" s="36"/>
      <c r="M71" s="102">
        <f t="shared" si="10"/>
        <v>0</v>
      </c>
      <c r="N71" s="36"/>
      <c r="O71" s="102">
        <f t="shared" si="11"/>
        <v>0</v>
      </c>
      <c r="P71" s="102">
        <f t="shared" si="12"/>
        <v>0</v>
      </c>
      <c r="Q71" s="102">
        <f t="shared" si="13"/>
        <v>0</v>
      </c>
      <c r="S71" s="2"/>
      <c r="T71" s="2"/>
    </row>
    <row r="72" spans="4:20" hidden="1" outlineLevel="1">
      <c r="E72" s="3" t="str">
        <f>PlayerPool!B62</f>
        <v>Michael Yardy</v>
      </c>
      <c r="F72" s="36"/>
      <c r="G72" s="102">
        <f t="shared" si="7"/>
        <v>0</v>
      </c>
      <c r="H72" s="36"/>
      <c r="I72" s="102">
        <f t="shared" si="8"/>
        <v>0</v>
      </c>
      <c r="J72" s="36"/>
      <c r="K72" s="102">
        <f t="shared" si="9"/>
        <v>0</v>
      </c>
      <c r="L72" s="36"/>
      <c r="M72" s="102">
        <f t="shared" si="10"/>
        <v>0</v>
      </c>
      <c r="N72" s="36"/>
      <c r="O72" s="102">
        <f t="shared" si="11"/>
        <v>0</v>
      </c>
      <c r="P72" s="102">
        <f t="shared" si="12"/>
        <v>0</v>
      </c>
      <c r="Q72" s="102">
        <f t="shared" si="13"/>
        <v>0</v>
      </c>
      <c r="S72" s="2"/>
      <c r="T72" s="2"/>
    </row>
    <row r="73" spans="4:20" collapsed="1">
      <c r="D73" s="5" t="s">
        <v>100</v>
      </c>
      <c r="F73" s="105">
        <f>SUM(F74:F88)</f>
        <v>0</v>
      </c>
      <c r="G73" s="104">
        <f t="shared" ref="G73" si="47">SUM(G74:G88)</f>
        <v>0</v>
      </c>
      <c r="H73" s="105">
        <f t="shared" ref="H73" si="48">SUM(H74:H88)</f>
        <v>0</v>
      </c>
      <c r="I73" s="104">
        <f t="shared" ref="I73" si="49">SUM(I74:I88)</f>
        <v>0</v>
      </c>
      <c r="J73" s="105">
        <f t="shared" ref="J73" si="50">SUM(J74:J88)</f>
        <v>0</v>
      </c>
      <c r="K73" s="104">
        <f t="shared" ref="K73" si="51">SUM(K74:K88)</f>
        <v>0</v>
      </c>
      <c r="L73" s="105">
        <f t="shared" ref="L73" si="52">SUM(L74:L88)</f>
        <v>0</v>
      </c>
      <c r="M73" s="104">
        <f t="shared" ref="M73" si="53">SUM(M74:M88)</f>
        <v>0</v>
      </c>
      <c r="N73" s="105">
        <f t="shared" ref="N73" si="54">SUM(N74:N88)</f>
        <v>0</v>
      </c>
      <c r="O73" s="104">
        <f t="shared" ref="O73" si="55">SUM(O74:O88)</f>
        <v>0</v>
      </c>
      <c r="P73" s="105">
        <f t="shared" ref="P73" si="56">SUM(P74:P88)</f>
        <v>0</v>
      </c>
      <c r="Q73" s="104">
        <f t="shared" ref="Q73" si="57">SUM(Q74:Q88)</f>
        <v>0</v>
      </c>
      <c r="S73" s="2"/>
      <c r="T73" s="2"/>
    </row>
    <row r="74" spans="4:20" hidden="1" outlineLevel="1">
      <c r="E74" s="3" t="str">
        <f>PlayerPool!B63</f>
        <v>Kumar Sangakkara</v>
      </c>
      <c r="F74" s="36"/>
      <c r="G74" s="102">
        <f t="shared" si="7"/>
        <v>0</v>
      </c>
      <c r="H74" s="36"/>
      <c r="I74" s="102">
        <f t="shared" si="8"/>
        <v>0</v>
      </c>
      <c r="J74" s="36"/>
      <c r="K74" s="102">
        <f t="shared" si="9"/>
        <v>0</v>
      </c>
      <c r="L74" s="36"/>
      <c r="M74" s="102">
        <f t="shared" si="10"/>
        <v>0</v>
      </c>
      <c r="N74" s="36"/>
      <c r="O74" s="102">
        <f t="shared" si="11"/>
        <v>0</v>
      </c>
      <c r="P74" s="102">
        <f t="shared" si="12"/>
        <v>0</v>
      </c>
      <c r="Q74" s="102">
        <f t="shared" si="13"/>
        <v>0</v>
      </c>
      <c r="S74" s="2"/>
      <c r="T74" s="2"/>
    </row>
    <row r="75" spans="4:20" hidden="1" outlineLevel="1">
      <c r="E75" s="3" t="str">
        <f>PlayerPool!B64</f>
        <v>Mahela Jayawardene</v>
      </c>
      <c r="F75" s="36"/>
      <c r="G75" s="102">
        <f t="shared" ref="G75:G138" si="58">F75*$C$3+IF(F75&gt;199,$C$7,IF(F75&gt;149,$C$6,IF(F75&gt;99,$C$5,IF(F75&gt;49,$C$4,0))))</f>
        <v>0</v>
      </c>
      <c r="H75" s="36"/>
      <c r="I75" s="102">
        <f t="shared" ref="I75:I138" si="59">H75*$C$3+IF(H75&gt;199,$C$7,IF(H75&gt;149,$C$6,IF(H75&gt;99,$C$5,IF(H75&gt;49,$C$4,0))))</f>
        <v>0</v>
      </c>
      <c r="J75" s="36"/>
      <c r="K75" s="102">
        <f t="shared" ref="K75:K138" si="60">J75*$C$3+IF(J75&gt;199,$C$7,IF(J75&gt;149,$C$6,IF(J75&gt;99,$C$5,IF(J75&gt;49,$C$4,0))))</f>
        <v>0</v>
      </c>
      <c r="L75" s="36"/>
      <c r="M75" s="102">
        <f t="shared" ref="M75:M138" si="61">L75*$C$3+IF(L75&gt;199,$C$7,IF(L75&gt;149,$C$6,IF(L75&gt;99,$C$5,IF(L75&gt;49,$C$4,0))))</f>
        <v>0</v>
      </c>
      <c r="N75" s="36"/>
      <c r="O75" s="102">
        <f t="shared" ref="O75:O138" si="62">N75*$C$3+IF(N75&gt;199,$C$7,IF(N75&gt;149,$C$6,IF(N75&gt;99,$C$5,IF(N75&gt;49,$C$4,0))))</f>
        <v>0</v>
      </c>
      <c r="P75" s="102">
        <f t="shared" ref="P75:P138" si="63">SUM(F75,H75,J75,L75,N75)</f>
        <v>0</v>
      </c>
      <c r="Q75" s="102">
        <f t="shared" ref="Q75:Q138" si="64">SUM(G75,I75,K75,M75,O75)</f>
        <v>0</v>
      </c>
      <c r="S75" s="2"/>
      <c r="T75" s="2"/>
    </row>
    <row r="76" spans="4:20" hidden="1" outlineLevel="1">
      <c r="E76" s="3" t="str">
        <f>PlayerPool!B65</f>
        <v>Tillakaratne Dilshan</v>
      </c>
      <c r="F76" s="36"/>
      <c r="G76" s="102">
        <f t="shared" si="58"/>
        <v>0</v>
      </c>
      <c r="H76" s="36"/>
      <c r="I76" s="102">
        <f t="shared" si="59"/>
        <v>0</v>
      </c>
      <c r="J76" s="36"/>
      <c r="K76" s="102">
        <f t="shared" si="60"/>
        <v>0</v>
      </c>
      <c r="L76" s="36"/>
      <c r="M76" s="102">
        <f t="shared" si="61"/>
        <v>0</v>
      </c>
      <c r="N76" s="36"/>
      <c r="O76" s="102">
        <f t="shared" si="62"/>
        <v>0</v>
      </c>
      <c r="P76" s="102">
        <f t="shared" si="63"/>
        <v>0</v>
      </c>
      <c r="Q76" s="102">
        <f t="shared" si="64"/>
        <v>0</v>
      </c>
      <c r="S76" s="2"/>
      <c r="T76" s="2"/>
    </row>
    <row r="77" spans="4:20" hidden="1" outlineLevel="1">
      <c r="E77" s="3" t="str">
        <f>PlayerPool!B66</f>
        <v>Dilhara Fernando</v>
      </c>
      <c r="F77" s="36"/>
      <c r="G77" s="102">
        <f t="shared" si="58"/>
        <v>0</v>
      </c>
      <c r="H77" s="36"/>
      <c r="I77" s="102">
        <f t="shared" si="59"/>
        <v>0</v>
      </c>
      <c r="J77" s="36"/>
      <c r="K77" s="102">
        <f t="shared" si="60"/>
        <v>0</v>
      </c>
      <c r="L77" s="36"/>
      <c r="M77" s="102">
        <f t="shared" si="61"/>
        <v>0</v>
      </c>
      <c r="N77" s="36"/>
      <c r="O77" s="102">
        <f t="shared" si="62"/>
        <v>0</v>
      </c>
      <c r="P77" s="102">
        <f t="shared" si="63"/>
        <v>0</v>
      </c>
      <c r="Q77" s="102">
        <f t="shared" si="64"/>
        <v>0</v>
      </c>
      <c r="S77" s="2"/>
      <c r="T77" s="2"/>
    </row>
    <row r="78" spans="4:20" hidden="1" outlineLevel="1">
      <c r="E78" s="3" t="str">
        <f>PlayerPool!B67</f>
        <v>Rangana Herath</v>
      </c>
      <c r="F78" s="36"/>
      <c r="G78" s="102">
        <f t="shared" si="58"/>
        <v>0</v>
      </c>
      <c r="H78" s="36"/>
      <c r="I78" s="102">
        <f t="shared" si="59"/>
        <v>0</v>
      </c>
      <c r="J78" s="36"/>
      <c r="K78" s="102">
        <f t="shared" si="60"/>
        <v>0</v>
      </c>
      <c r="L78" s="36"/>
      <c r="M78" s="102">
        <f t="shared" si="61"/>
        <v>0</v>
      </c>
      <c r="N78" s="36"/>
      <c r="O78" s="102">
        <f t="shared" si="62"/>
        <v>0</v>
      </c>
      <c r="P78" s="102">
        <f t="shared" si="63"/>
        <v>0</v>
      </c>
      <c r="Q78" s="102">
        <f t="shared" si="64"/>
        <v>0</v>
      </c>
      <c r="S78" s="2"/>
      <c r="T78" s="2"/>
    </row>
    <row r="79" spans="4:20" hidden="1" outlineLevel="1">
      <c r="E79" s="3" t="str">
        <f>PlayerPool!B68</f>
        <v>Chamara Kapugedera</v>
      </c>
      <c r="F79" s="36"/>
      <c r="G79" s="102">
        <f t="shared" si="58"/>
        <v>0</v>
      </c>
      <c r="H79" s="36"/>
      <c r="I79" s="102">
        <f t="shared" si="59"/>
        <v>0</v>
      </c>
      <c r="J79" s="36"/>
      <c r="K79" s="102">
        <f t="shared" si="60"/>
        <v>0</v>
      </c>
      <c r="L79" s="36"/>
      <c r="M79" s="102">
        <f t="shared" si="61"/>
        <v>0</v>
      </c>
      <c r="N79" s="36"/>
      <c r="O79" s="102">
        <f t="shared" si="62"/>
        <v>0</v>
      </c>
      <c r="P79" s="102">
        <f t="shared" si="63"/>
        <v>0</v>
      </c>
      <c r="Q79" s="102">
        <f t="shared" si="64"/>
        <v>0</v>
      </c>
      <c r="S79" s="2"/>
      <c r="T79" s="2"/>
    </row>
    <row r="80" spans="4:20" hidden="1" outlineLevel="1">
      <c r="E80" s="3" t="str">
        <f>PlayerPool!B69</f>
        <v>Nuwan Kulasekara</v>
      </c>
      <c r="F80" s="36"/>
      <c r="G80" s="102">
        <f t="shared" si="58"/>
        <v>0</v>
      </c>
      <c r="H80" s="36"/>
      <c r="I80" s="102">
        <f t="shared" si="59"/>
        <v>0</v>
      </c>
      <c r="J80" s="36"/>
      <c r="K80" s="102">
        <f t="shared" si="60"/>
        <v>0</v>
      </c>
      <c r="L80" s="36"/>
      <c r="M80" s="102">
        <f t="shared" si="61"/>
        <v>0</v>
      </c>
      <c r="N80" s="36"/>
      <c r="O80" s="102">
        <f t="shared" si="62"/>
        <v>0</v>
      </c>
      <c r="P80" s="102">
        <f t="shared" si="63"/>
        <v>0</v>
      </c>
      <c r="Q80" s="102">
        <f t="shared" si="64"/>
        <v>0</v>
      </c>
      <c r="S80" s="2"/>
      <c r="T80" s="2"/>
    </row>
    <row r="81" spans="4:20" hidden="1" outlineLevel="1">
      <c r="E81" s="3" t="str">
        <f>PlayerPool!B70</f>
        <v>Lasith Malinga</v>
      </c>
      <c r="F81" s="36"/>
      <c r="G81" s="102">
        <f t="shared" si="58"/>
        <v>0</v>
      </c>
      <c r="H81" s="36"/>
      <c r="I81" s="102">
        <f t="shared" si="59"/>
        <v>0</v>
      </c>
      <c r="J81" s="36"/>
      <c r="K81" s="102">
        <f t="shared" si="60"/>
        <v>0</v>
      </c>
      <c r="L81" s="36"/>
      <c r="M81" s="102">
        <f t="shared" si="61"/>
        <v>0</v>
      </c>
      <c r="N81" s="36"/>
      <c r="O81" s="102">
        <f t="shared" si="62"/>
        <v>0</v>
      </c>
      <c r="P81" s="102">
        <f t="shared" si="63"/>
        <v>0</v>
      </c>
      <c r="Q81" s="102">
        <f t="shared" si="64"/>
        <v>0</v>
      </c>
      <c r="S81" s="2"/>
      <c r="T81" s="2"/>
    </row>
    <row r="82" spans="4:20" hidden="1" outlineLevel="1">
      <c r="E82" s="3" t="str">
        <f>PlayerPool!B71</f>
        <v>Angelo Mathews</v>
      </c>
      <c r="F82" s="36"/>
      <c r="G82" s="102">
        <f t="shared" si="58"/>
        <v>0</v>
      </c>
      <c r="H82" s="36"/>
      <c r="I82" s="102">
        <f t="shared" si="59"/>
        <v>0</v>
      </c>
      <c r="J82" s="36"/>
      <c r="K82" s="102">
        <f t="shared" si="60"/>
        <v>0</v>
      </c>
      <c r="L82" s="36"/>
      <c r="M82" s="102">
        <f t="shared" si="61"/>
        <v>0</v>
      </c>
      <c r="N82" s="36"/>
      <c r="O82" s="102">
        <f t="shared" si="62"/>
        <v>0</v>
      </c>
      <c r="P82" s="102">
        <f t="shared" si="63"/>
        <v>0</v>
      </c>
      <c r="Q82" s="102">
        <f t="shared" si="64"/>
        <v>0</v>
      </c>
      <c r="S82" s="2"/>
      <c r="T82" s="2"/>
    </row>
    <row r="83" spans="4:20" hidden="1" outlineLevel="1">
      <c r="E83" s="3" t="str">
        <f>PlayerPool!B72</f>
        <v>Ajantha Mendis</v>
      </c>
      <c r="F83" s="36"/>
      <c r="G83" s="102">
        <f t="shared" si="58"/>
        <v>0</v>
      </c>
      <c r="H83" s="36"/>
      <c r="I83" s="102">
        <f t="shared" si="59"/>
        <v>0</v>
      </c>
      <c r="J83" s="36"/>
      <c r="K83" s="102">
        <f t="shared" si="60"/>
        <v>0</v>
      </c>
      <c r="L83" s="36"/>
      <c r="M83" s="102">
        <f t="shared" si="61"/>
        <v>0</v>
      </c>
      <c r="N83" s="36"/>
      <c r="O83" s="102">
        <f t="shared" si="62"/>
        <v>0</v>
      </c>
      <c r="P83" s="102">
        <f t="shared" si="63"/>
        <v>0</v>
      </c>
      <c r="Q83" s="102">
        <f t="shared" si="64"/>
        <v>0</v>
      </c>
      <c r="S83" s="2"/>
      <c r="T83" s="2"/>
    </row>
    <row r="84" spans="4:20" hidden="1" outlineLevel="1">
      <c r="E84" s="3" t="str">
        <f>PlayerPool!B73</f>
        <v>Muttiah Muralitharan</v>
      </c>
      <c r="F84" s="36"/>
      <c r="G84" s="102">
        <f t="shared" si="58"/>
        <v>0</v>
      </c>
      <c r="H84" s="36"/>
      <c r="I84" s="102">
        <f t="shared" si="59"/>
        <v>0</v>
      </c>
      <c r="J84" s="36"/>
      <c r="K84" s="102">
        <f t="shared" si="60"/>
        <v>0</v>
      </c>
      <c r="L84" s="36"/>
      <c r="M84" s="102">
        <f t="shared" si="61"/>
        <v>0</v>
      </c>
      <c r="N84" s="36"/>
      <c r="O84" s="102">
        <f t="shared" si="62"/>
        <v>0</v>
      </c>
      <c r="P84" s="102">
        <f t="shared" si="63"/>
        <v>0</v>
      </c>
      <c r="Q84" s="102">
        <f t="shared" si="64"/>
        <v>0</v>
      </c>
      <c r="S84" s="2"/>
      <c r="T84" s="2"/>
    </row>
    <row r="85" spans="4:20" hidden="1" outlineLevel="1">
      <c r="E85" s="3" t="str">
        <f>PlayerPool!B74</f>
        <v>Thisara Perera</v>
      </c>
      <c r="F85" s="36"/>
      <c r="G85" s="102">
        <f t="shared" si="58"/>
        <v>0</v>
      </c>
      <c r="H85" s="36"/>
      <c r="I85" s="102">
        <f t="shared" si="59"/>
        <v>0</v>
      </c>
      <c r="J85" s="36"/>
      <c r="K85" s="102">
        <f t="shared" si="60"/>
        <v>0</v>
      </c>
      <c r="L85" s="36"/>
      <c r="M85" s="102">
        <f t="shared" si="61"/>
        <v>0</v>
      </c>
      <c r="N85" s="36"/>
      <c r="O85" s="102">
        <f t="shared" si="62"/>
        <v>0</v>
      </c>
      <c r="P85" s="102">
        <f t="shared" si="63"/>
        <v>0</v>
      </c>
      <c r="Q85" s="102">
        <f t="shared" si="64"/>
        <v>0</v>
      </c>
      <c r="S85" s="2"/>
      <c r="T85" s="2"/>
    </row>
    <row r="86" spans="4:20" hidden="1" outlineLevel="1">
      <c r="E86" s="3" t="str">
        <f>PlayerPool!B75</f>
        <v>Thilan Samaraweera</v>
      </c>
      <c r="F86" s="36"/>
      <c r="G86" s="102">
        <f t="shared" si="58"/>
        <v>0</v>
      </c>
      <c r="H86" s="36"/>
      <c r="I86" s="102">
        <f t="shared" si="59"/>
        <v>0</v>
      </c>
      <c r="J86" s="36"/>
      <c r="K86" s="102">
        <f t="shared" si="60"/>
        <v>0</v>
      </c>
      <c r="L86" s="36"/>
      <c r="M86" s="102">
        <f t="shared" si="61"/>
        <v>0</v>
      </c>
      <c r="N86" s="36"/>
      <c r="O86" s="102">
        <f t="shared" si="62"/>
        <v>0</v>
      </c>
      <c r="P86" s="102">
        <f t="shared" si="63"/>
        <v>0</v>
      </c>
      <c r="Q86" s="102">
        <f t="shared" si="64"/>
        <v>0</v>
      </c>
      <c r="S86" s="2"/>
      <c r="T86" s="2"/>
    </row>
    <row r="87" spans="4:20" hidden="1" outlineLevel="1">
      <c r="E87" s="3" t="str">
        <f>PlayerPool!B76</f>
        <v>Chamara Silva</v>
      </c>
      <c r="F87" s="36"/>
      <c r="G87" s="102">
        <f t="shared" si="58"/>
        <v>0</v>
      </c>
      <c r="H87" s="36"/>
      <c r="I87" s="102">
        <f t="shared" si="59"/>
        <v>0</v>
      </c>
      <c r="J87" s="36"/>
      <c r="K87" s="102">
        <f t="shared" si="60"/>
        <v>0</v>
      </c>
      <c r="L87" s="36"/>
      <c r="M87" s="102">
        <f t="shared" si="61"/>
        <v>0</v>
      </c>
      <c r="N87" s="36"/>
      <c r="O87" s="102">
        <f t="shared" si="62"/>
        <v>0</v>
      </c>
      <c r="P87" s="102">
        <f t="shared" si="63"/>
        <v>0</v>
      </c>
      <c r="Q87" s="102">
        <f t="shared" si="64"/>
        <v>0</v>
      </c>
      <c r="S87" s="2"/>
      <c r="T87" s="2"/>
    </row>
    <row r="88" spans="4:20" hidden="1" outlineLevel="1">
      <c r="E88" s="3" t="str">
        <f>PlayerPool!B77</f>
        <v>Upul Tharanga</v>
      </c>
      <c r="F88" s="36"/>
      <c r="G88" s="102">
        <f t="shared" si="58"/>
        <v>0</v>
      </c>
      <c r="H88" s="36"/>
      <c r="I88" s="102">
        <f t="shared" si="59"/>
        <v>0</v>
      </c>
      <c r="J88" s="36"/>
      <c r="K88" s="102">
        <f t="shared" si="60"/>
        <v>0</v>
      </c>
      <c r="L88" s="36"/>
      <c r="M88" s="102">
        <f t="shared" si="61"/>
        <v>0</v>
      </c>
      <c r="N88" s="36"/>
      <c r="O88" s="102">
        <f t="shared" si="62"/>
        <v>0</v>
      </c>
      <c r="P88" s="102">
        <f t="shared" si="63"/>
        <v>0</v>
      </c>
      <c r="Q88" s="102">
        <f t="shared" si="64"/>
        <v>0</v>
      </c>
      <c r="S88" s="2"/>
      <c r="T88" s="2"/>
    </row>
    <row r="89" spans="4:20" collapsed="1">
      <c r="D89" s="5" t="s">
        <v>98</v>
      </c>
      <c r="F89" s="105">
        <f>SUM(F90:F104)</f>
        <v>0</v>
      </c>
      <c r="G89" s="104">
        <f t="shared" ref="G89" si="65">SUM(G90:G104)</f>
        <v>0</v>
      </c>
      <c r="H89" s="105">
        <f t="shared" ref="H89" si="66">SUM(H90:H104)</f>
        <v>0</v>
      </c>
      <c r="I89" s="104">
        <f t="shared" ref="I89" si="67">SUM(I90:I104)</f>
        <v>0</v>
      </c>
      <c r="J89" s="105">
        <f t="shared" ref="J89" si="68">SUM(J90:J104)</f>
        <v>0</v>
      </c>
      <c r="K89" s="104">
        <f t="shared" ref="K89" si="69">SUM(K90:K104)</f>
        <v>0</v>
      </c>
      <c r="L89" s="105">
        <f t="shared" ref="L89" si="70">SUM(L90:L104)</f>
        <v>0</v>
      </c>
      <c r="M89" s="104">
        <f t="shared" ref="M89" si="71">SUM(M90:M104)</f>
        <v>0</v>
      </c>
      <c r="N89" s="105">
        <f t="shared" ref="N89" si="72">SUM(N90:N104)</f>
        <v>0</v>
      </c>
      <c r="O89" s="104">
        <f t="shared" ref="O89" si="73">SUM(O90:O104)</f>
        <v>0</v>
      </c>
      <c r="P89" s="105">
        <f t="shared" ref="P89" si="74">SUM(P90:P104)</f>
        <v>0</v>
      </c>
      <c r="Q89" s="104">
        <f t="shared" ref="Q89" si="75">SUM(Q90:Q104)</f>
        <v>0</v>
      </c>
      <c r="S89" s="2"/>
      <c r="T89" s="2"/>
    </row>
    <row r="90" spans="4:20" hidden="1" outlineLevel="1">
      <c r="E90" s="3" t="str">
        <f>PlayerPool!B78</f>
        <v>Shahid Afridi</v>
      </c>
      <c r="F90" s="36"/>
      <c r="G90" s="102">
        <f t="shared" si="58"/>
        <v>0</v>
      </c>
      <c r="H90" s="36"/>
      <c r="I90" s="102">
        <f t="shared" si="59"/>
        <v>0</v>
      </c>
      <c r="J90" s="36"/>
      <c r="K90" s="102">
        <f t="shared" si="60"/>
        <v>0</v>
      </c>
      <c r="L90" s="36"/>
      <c r="M90" s="102">
        <f t="shared" si="61"/>
        <v>0</v>
      </c>
      <c r="N90" s="36"/>
      <c r="O90" s="102">
        <f t="shared" si="62"/>
        <v>0</v>
      </c>
      <c r="P90" s="102">
        <f t="shared" si="63"/>
        <v>0</v>
      </c>
      <c r="Q90" s="102">
        <f t="shared" si="64"/>
        <v>0</v>
      </c>
      <c r="S90" s="2"/>
      <c r="T90" s="2"/>
    </row>
    <row r="91" spans="4:20" hidden="1" outlineLevel="1">
      <c r="E91" s="3" t="str">
        <f>PlayerPool!B79</f>
        <v>Misbah-ul-Haq</v>
      </c>
      <c r="F91" s="36"/>
      <c r="G91" s="102">
        <f t="shared" si="58"/>
        <v>0</v>
      </c>
      <c r="H91" s="36"/>
      <c r="I91" s="102">
        <f t="shared" si="59"/>
        <v>0</v>
      </c>
      <c r="J91" s="36"/>
      <c r="K91" s="102">
        <f t="shared" si="60"/>
        <v>0</v>
      </c>
      <c r="L91" s="36"/>
      <c r="M91" s="102">
        <f t="shared" si="61"/>
        <v>0</v>
      </c>
      <c r="N91" s="36"/>
      <c r="O91" s="102">
        <f t="shared" si="62"/>
        <v>0</v>
      </c>
      <c r="P91" s="102">
        <f t="shared" si="63"/>
        <v>0</v>
      </c>
      <c r="Q91" s="102">
        <f t="shared" si="64"/>
        <v>0</v>
      </c>
      <c r="S91" s="2"/>
      <c r="T91" s="2"/>
    </row>
    <row r="92" spans="4:20" hidden="1" outlineLevel="1">
      <c r="E92" s="3" t="str">
        <f>PlayerPool!B80</f>
        <v>Abdul Razzaq</v>
      </c>
      <c r="F92" s="36"/>
      <c r="G92" s="102">
        <f t="shared" si="58"/>
        <v>0</v>
      </c>
      <c r="H92" s="36"/>
      <c r="I92" s="102">
        <f t="shared" si="59"/>
        <v>0</v>
      </c>
      <c r="J92" s="36"/>
      <c r="K92" s="102">
        <f t="shared" si="60"/>
        <v>0</v>
      </c>
      <c r="L92" s="36"/>
      <c r="M92" s="102">
        <f t="shared" si="61"/>
        <v>0</v>
      </c>
      <c r="N92" s="36"/>
      <c r="O92" s="102">
        <f t="shared" si="62"/>
        <v>0</v>
      </c>
      <c r="P92" s="102">
        <f t="shared" si="63"/>
        <v>0</v>
      </c>
      <c r="Q92" s="102">
        <f t="shared" si="64"/>
        <v>0</v>
      </c>
      <c r="S92" s="2"/>
      <c r="T92" s="2"/>
    </row>
    <row r="93" spans="4:20" hidden="1" outlineLevel="1">
      <c r="E93" s="3" t="str">
        <f>PlayerPool!B81</f>
        <v>Abdur Rehman</v>
      </c>
      <c r="F93" s="36"/>
      <c r="G93" s="102">
        <f t="shared" si="58"/>
        <v>0</v>
      </c>
      <c r="H93" s="36"/>
      <c r="I93" s="102">
        <f t="shared" si="59"/>
        <v>0</v>
      </c>
      <c r="J93" s="36"/>
      <c r="K93" s="102">
        <f t="shared" si="60"/>
        <v>0</v>
      </c>
      <c r="L93" s="36"/>
      <c r="M93" s="102">
        <f t="shared" si="61"/>
        <v>0</v>
      </c>
      <c r="N93" s="36"/>
      <c r="O93" s="102">
        <f t="shared" si="62"/>
        <v>0</v>
      </c>
      <c r="P93" s="102">
        <f t="shared" si="63"/>
        <v>0</v>
      </c>
      <c r="Q93" s="102">
        <f t="shared" si="64"/>
        <v>0</v>
      </c>
      <c r="S93" s="2"/>
      <c r="T93" s="2"/>
    </row>
    <row r="94" spans="4:20" hidden="1" outlineLevel="1">
      <c r="E94" s="3" t="str">
        <f>PlayerPool!B82</f>
        <v>Ahmed Shehzad</v>
      </c>
      <c r="F94" s="36"/>
      <c r="G94" s="102">
        <f t="shared" si="58"/>
        <v>0</v>
      </c>
      <c r="H94" s="36"/>
      <c r="I94" s="102">
        <f t="shared" si="59"/>
        <v>0</v>
      </c>
      <c r="J94" s="36"/>
      <c r="K94" s="102">
        <f t="shared" si="60"/>
        <v>0</v>
      </c>
      <c r="L94" s="36"/>
      <c r="M94" s="102">
        <f t="shared" si="61"/>
        <v>0</v>
      </c>
      <c r="N94" s="36"/>
      <c r="O94" s="102">
        <f t="shared" si="62"/>
        <v>0</v>
      </c>
      <c r="P94" s="102">
        <f t="shared" si="63"/>
        <v>0</v>
      </c>
      <c r="Q94" s="102">
        <f t="shared" si="64"/>
        <v>0</v>
      </c>
      <c r="S94" s="2"/>
      <c r="T94" s="2"/>
    </row>
    <row r="95" spans="4:20" hidden="1" outlineLevel="1">
      <c r="E95" s="3" t="str">
        <f>PlayerPool!B83</f>
        <v>Asad Shafiq</v>
      </c>
      <c r="F95" s="36"/>
      <c r="G95" s="102">
        <f t="shared" si="58"/>
        <v>0</v>
      </c>
      <c r="H95" s="36"/>
      <c r="I95" s="102">
        <f t="shared" si="59"/>
        <v>0</v>
      </c>
      <c r="J95" s="36"/>
      <c r="K95" s="102">
        <f t="shared" si="60"/>
        <v>0</v>
      </c>
      <c r="L95" s="36"/>
      <c r="M95" s="102">
        <f t="shared" si="61"/>
        <v>0</v>
      </c>
      <c r="N95" s="36"/>
      <c r="O95" s="102">
        <f t="shared" si="62"/>
        <v>0</v>
      </c>
      <c r="P95" s="102">
        <f t="shared" si="63"/>
        <v>0</v>
      </c>
      <c r="Q95" s="102">
        <f t="shared" si="64"/>
        <v>0</v>
      </c>
      <c r="S95" s="2"/>
      <c r="T95" s="2"/>
    </row>
    <row r="96" spans="4:20" hidden="1" outlineLevel="1">
      <c r="E96" s="3" t="str">
        <f>PlayerPool!B84</f>
        <v>Junaid Khan</v>
      </c>
      <c r="F96" s="36"/>
      <c r="G96" s="102">
        <f t="shared" si="58"/>
        <v>0</v>
      </c>
      <c r="H96" s="36"/>
      <c r="I96" s="102">
        <f t="shared" si="59"/>
        <v>0</v>
      </c>
      <c r="J96" s="36"/>
      <c r="K96" s="102">
        <f t="shared" si="60"/>
        <v>0</v>
      </c>
      <c r="L96" s="36"/>
      <c r="M96" s="102">
        <f t="shared" si="61"/>
        <v>0</v>
      </c>
      <c r="N96" s="36"/>
      <c r="O96" s="102">
        <f t="shared" si="62"/>
        <v>0</v>
      </c>
      <c r="P96" s="102">
        <f t="shared" si="63"/>
        <v>0</v>
      </c>
      <c r="Q96" s="102">
        <f t="shared" si="64"/>
        <v>0</v>
      </c>
      <c r="S96" s="2"/>
      <c r="T96" s="2"/>
    </row>
    <row r="97" spans="4:20" hidden="1" outlineLevel="1">
      <c r="E97" s="3" t="str">
        <f>PlayerPool!B85</f>
        <v>Kamran Akmal</v>
      </c>
      <c r="F97" s="36"/>
      <c r="G97" s="102">
        <f t="shared" si="58"/>
        <v>0</v>
      </c>
      <c r="H97" s="36"/>
      <c r="I97" s="102">
        <f t="shared" si="59"/>
        <v>0</v>
      </c>
      <c r="J97" s="36"/>
      <c r="K97" s="102">
        <f t="shared" si="60"/>
        <v>0</v>
      </c>
      <c r="L97" s="36"/>
      <c r="M97" s="102">
        <f t="shared" si="61"/>
        <v>0</v>
      </c>
      <c r="N97" s="36"/>
      <c r="O97" s="102">
        <f t="shared" si="62"/>
        <v>0</v>
      </c>
      <c r="P97" s="102">
        <f t="shared" si="63"/>
        <v>0</v>
      </c>
      <c r="Q97" s="102">
        <f t="shared" si="64"/>
        <v>0</v>
      </c>
      <c r="S97" s="2"/>
      <c r="T97" s="2"/>
    </row>
    <row r="98" spans="4:20" hidden="1" outlineLevel="1">
      <c r="E98" s="3" t="str">
        <f>PlayerPool!B86</f>
        <v>Mohammad Hafeez</v>
      </c>
      <c r="F98" s="36"/>
      <c r="G98" s="102">
        <f t="shared" si="58"/>
        <v>0</v>
      </c>
      <c r="H98" s="36"/>
      <c r="I98" s="102">
        <f t="shared" si="59"/>
        <v>0</v>
      </c>
      <c r="J98" s="36"/>
      <c r="K98" s="102">
        <f t="shared" si="60"/>
        <v>0</v>
      </c>
      <c r="L98" s="36"/>
      <c r="M98" s="102">
        <f t="shared" si="61"/>
        <v>0</v>
      </c>
      <c r="N98" s="36"/>
      <c r="O98" s="102">
        <f t="shared" si="62"/>
        <v>0</v>
      </c>
      <c r="P98" s="102">
        <f t="shared" si="63"/>
        <v>0</v>
      </c>
      <c r="Q98" s="102">
        <f t="shared" si="64"/>
        <v>0</v>
      </c>
      <c r="S98" s="2"/>
      <c r="T98" s="2"/>
    </row>
    <row r="99" spans="4:20" hidden="1" outlineLevel="1">
      <c r="E99" s="3" t="str">
        <f>PlayerPool!B87</f>
        <v>Saeed Ajmal</v>
      </c>
      <c r="F99" s="36"/>
      <c r="G99" s="102">
        <f t="shared" si="58"/>
        <v>0</v>
      </c>
      <c r="H99" s="36"/>
      <c r="I99" s="102">
        <f t="shared" si="59"/>
        <v>0</v>
      </c>
      <c r="J99" s="36"/>
      <c r="K99" s="102">
        <f t="shared" si="60"/>
        <v>0</v>
      </c>
      <c r="L99" s="36"/>
      <c r="M99" s="102">
        <f t="shared" si="61"/>
        <v>0</v>
      </c>
      <c r="N99" s="36"/>
      <c r="O99" s="102">
        <f t="shared" si="62"/>
        <v>0</v>
      </c>
      <c r="P99" s="102">
        <f t="shared" si="63"/>
        <v>0</v>
      </c>
      <c r="Q99" s="102">
        <f t="shared" si="64"/>
        <v>0</v>
      </c>
      <c r="S99" s="2"/>
      <c r="T99" s="2"/>
    </row>
    <row r="100" spans="4:20" hidden="1" outlineLevel="1">
      <c r="E100" s="3" t="str">
        <f>PlayerPool!B88</f>
        <v>Shoaib Akhtar</v>
      </c>
      <c r="F100" s="36"/>
      <c r="G100" s="102">
        <f t="shared" si="58"/>
        <v>0</v>
      </c>
      <c r="H100" s="36"/>
      <c r="I100" s="102">
        <f t="shared" si="59"/>
        <v>0</v>
      </c>
      <c r="J100" s="36"/>
      <c r="K100" s="102">
        <f t="shared" si="60"/>
        <v>0</v>
      </c>
      <c r="L100" s="36"/>
      <c r="M100" s="102">
        <f t="shared" si="61"/>
        <v>0</v>
      </c>
      <c r="N100" s="36"/>
      <c r="O100" s="102">
        <f t="shared" si="62"/>
        <v>0</v>
      </c>
      <c r="P100" s="102">
        <f t="shared" si="63"/>
        <v>0</v>
      </c>
      <c r="Q100" s="102">
        <f t="shared" si="64"/>
        <v>0</v>
      </c>
      <c r="S100" s="2"/>
      <c r="T100" s="2"/>
    </row>
    <row r="101" spans="4:20" hidden="1" outlineLevel="1">
      <c r="E101" s="3" t="str">
        <f>PlayerPool!B89</f>
        <v>Umar Akmal</v>
      </c>
      <c r="F101" s="36"/>
      <c r="G101" s="102">
        <f t="shared" si="58"/>
        <v>0</v>
      </c>
      <c r="H101" s="36"/>
      <c r="I101" s="102">
        <f t="shared" si="59"/>
        <v>0</v>
      </c>
      <c r="J101" s="36"/>
      <c r="K101" s="102">
        <f t="shared" si="60"/>
        <v>0</v>
      </c>
      <c r="L101" s="36"/>
      <c r="M101" s="102">
        <f t="shared" si="61"/>
        <v>0</v>
      </c>
      <c r="N101" s="36"/>
      <c r="O101" s="102">
        <f t="shared" si="62"/>
        <v>0</v>
      </c>
      <c r="P101" s="102">
        <f t="shared" si="63"/>
        <v>0</v>
      </c>
      <c r="Q101" s="102">
        <f t="shared" si="64"/>
        <v>0</v>
      </c>
      <c r="S101" s="2"/>
      <c r="T101" s="2"/>
    </row>
    <row r="102" spans="4:20" hidden="1" outlineLevel="1">
      <c r="E102" s="3" t="str">
        <f>PlayerPool!B90</f>
        <v>Umar Gul</v>
      </c>
      <c r="F102" s="36"/>
      <c r="G102" s="102">
        <f t="shared" si="58"/>
        <v>0</v>
      </c>
      <c r="H102" s="36"/>
      <c r="I102" s="102">
        <f t="shared" si="59"/>
        <v>0</v>
      </c>
      <c r="J102" s="36"/>
      <c r="K102" s="102">
        <f t="shared" si="60"/>
        <v>0</v>
      </c>
      <c r="L102" s="36"/>
      <c r="M102" s="102">
        <f t="shared" si="61"/>
        <v>0</v>
      </c>
      <c r="N102" s="36"/>
      <c r="O102" s="102">
        <f t="shared" si="62"/>
        <v>0</v>
      </c>
      <c r="P102" s="102">
        <f t="shared" si="63"/>
        <v>0</v>
      </c>
      <c r="Q102" s="102">
        <f t="shared" si="64"/>
        <v>0</v>
      </c>
      <c r="S102" s="2"/>
      <c r="T102" s="2"/>
    </row>
    <row r="103" spans="4:20" hidden="1" outlineLevel="1">
      <c r="E103" s="3" t="str">
        <f>PlayerPool!B91</f>
        <v>Wahab Riaz</v>
      </c>
      <c r="F103" s="36"/>
      <c r="G103" s="102">
        <f t="shared" si="58"/>
        <v>0</v>
      </c>
      <c r="H103" s="36"/>
      <c r="I103" s="102">
        <f t="shared" si="59"/>
        <v>0</v>
      </c>
      <c r="J103" s="36"/>
      <c r="K103" s="102">
        <f t="shared" si="60"/>
        <v>0</v>
      </c>
      <c r="L103" s="36"/>
      <c r="M103" s="102">
        <f t="shared" si="61"/>
        <v>0</v>
      </c>
      <c r="N103" s="36"/>
      <c r="O103" s="102">
        <f t="shared" si="62"/>
        <v>0</v>
      </c>
      <c r="P103" s="102">
        <f t="shared" si="63"/>
        <v>0</v>
      </c>
      <c r="Q103" s="102">
        <f t="shared" si="64"/>
        <v>0</v>
      </c>
      <c r="S103" s="2"/>
      <c r="T103" s="2"/>
    </row>
    <row r="104" spans="4:20" hidden="1" outlineLevel="1">
      <c r="E104" s="3" t="str">
        <f>PlayerPool!B92</f>
        <v>Younis khan</v>
      </c>
      <c r="F104" s="36"/>
      <c r="G104" s="102">
        <f t="shared" si="58"/>
        <v>0</v>
      </c>
      <c r="H104" s="36"/>
      <c r="I104" s="102">
        <f t="shared" si="59"/>
        <v>0</v>
      </c>
      <c r="J104" s="36"/>
      <c r="K104" s="102">
        <f t="shared" si="60"/>
        <v>0</v>
      </c>
      <c r="L104" s="36"/>
      <c r="M104" s="102">
        <f t="shared" si="61"/>
        <v>0</v>
      </c>
      <c r="N104" s="36"/>
      <c r="O104" s="102">
        <f t="shared" si="62"/>
        <v>0</v>
      </c>
      <c r="P104" s="102">
        <f t="shared" si="63"/>
        <v>0</v>
      </c>
      <c r="Q104" s="102">
        <f t="shared" si="64"/>
        <v>0</v>
      </c>
      <c r="S104" s="2"/>
      <c r="T104" s="2"/>
    </row>
    <row r="105" spans="4:20" collapsed="1">
      <c r="D105" s="5" t="s">
        <v>99</v>
      </c>
      <c r="F105" s="105">
        <f>SUM(F106:F120)</f>
        <v>220</v>
      </c>
      <c r="G105" s="104">
        <f>SUM(G106:G120)</f>
        <v>230</v>
      </c>
      <c r="H105" s="105">
        <f t="shared" ref="H105" si="76">SUM(H106:H120)</f>
        <v>0</v>
      </c>
      <c r="I105" s="104">
        <f t="shared" ref="I105" si="77">SUM(I106:I120)</f>
        <v>0</v>
      </c>
      <c r="J105" s="105">
        <f t="shared" ref="J105" si="78">SUM(J106:J120)</f>
        <v>0</v>
      </c>
      <c r="K105" s="104">
        <f t="shared" ref="K105" si="79">SUM(K106:K120)</f>
        <v>0</v>
      </c>
      <c r="L105" s="105">
        <f t="shared" ref="L105" si="80">SUM(L106:L120)</f>
        <v>0</v>
      </c>
      <c r="M105" s="104">
        <f t="shared" ref="M105" si="81">SUM(M106:M120)</f>
        <v>0</v>
      </c>
      <c r="N105" s="105">
        <f t="shared" ref="N105" si="82">SUM(N106:N120)</f>
        <v>0</v>
      </c>
      <c r="O105" s="104">
        <f t="shared" ref="O105" si="83">SUM(O106:O120)</f>
        <v>0</v>
      </c>
      <c r="P105" s="105">
        <f t="shared" ref="P105" si="84">SUM(P106:P120)</f>
        <v>220</v>
      </c>
      <c r="Q105" s="104">
        <f t="shared" ref="Q105" si="85">SUM(Q106:Q120)</f>
        <v>230</v>
      </c>
      <c r="S105" s="2"/>
      <c r="T105" s="2"/>
    </row>
    <row r="106" spans="4:20" hidden="1" outlineLevel="1">
      <c r="E106" s="3" t="str">
        <f>PlayerPool!B93</f>
        <v>Daniel Vettori</v>
      </c>
      <c r="F106" s="36"/>
      <c r="G106" s="102">
        <f t="shared" si="58"/>
        <v>0</v>
      </c>
      <c r="H106" s="36"/>
      <c r="I106" s="102">
        <f t="shared" si="59"/>
        <v>0</v>
      </c>
      <c r="J106" s="36"/>
      <c r="K106" s="102">
        <f t="shared" si="60"/>
        <v>0</v>
      </c>
      <c r="L106" s="36"/>
      <c r="M106" s="102">
        <f t="shared" si="61"/>
        <v>0</v>
      </c>
      <c r="N106" s="36"/>
      <c r="O106" s="102">
        <f t="shared" si="62"/>
        <v>0</v>
      </c>
      <c r="P106" s="102">
        <f t="shared" si="63"/>
        <v>0</v>
      </c>
      <c r="Q106" s="102">
        <f t="shared" si="64"/>
        <v>0</v>
      </c>
      <c r="S106" s="2"/>
      <c r="T106" s="2"/>
    </row>
    <row r="107" spans="4:20" hidden="1" outlineLevel="1">
      <c r="E107" s="3" t="str">
        <f>PlayerPool!B94</f>
        <v>Hamish Bennett</v>
      </c>
      <c r="F107" s="36"/>
      <c r="G107" s="102">
        <f t="shared" si="58"/>
        <v>0</v>
      </c>
      <c r="H107" s="36"/>
      <c r="I107" s="102">
        <f t="shared" si="59"/>
        <v>0</v>
      </c>
      <c r="J107" s="36"/>
      <c r="K107" s="102">
        <f t="shared" si="60"/>
        <v>0</v>
      </c>
      <c r="L107" s="36"/>
      <c r="M107" s="102">
        <f t="shared" si="61"/>
        <v>0</v>
      </c>
      <c r="N107" s="36"/>
      <c r="O107" s="102">
        <f t="shared" si="62"/>
        <v>0</v>
      </c>
      <c r="P107" s="102">
        <f t="shared" si="63"/>
        <v>0</v>
      </c>
      <c r="Q107" s="102">
        <f t="shared" si="64"/>
        <v>0</v>
      </c>
      <c r="S107" s="2"/>
      <c r="T107" s="2"/>
    </row>
    <row r="108" spans="4:20" hidden="1" outlineLevel="1">
      <c r="E108" s="3" t="str">
        <f>PlayerPool!B95</f>
        <v>James Franklin</v>
      </c>
      <c r="F108" s="36">
        <v>0</v>
      </c>
      <c r="G108" s="102">
        <f t="shared" si="58"/>
        <v>0</v>
      </c>
      <c r="H108" s="36"/>
      <c r="I108" s="102">
        <f t="shared" si="59"/>
        <v>0</v>
      </c>
      <c r="J108" s="36"/>
      <c r="K108" s="102">
        <f t="shared" si="60"/>
        <v>0</v>
      </c>
      <c r="L108" s="36"/>
      <c r="M108" s="102">
        <f t="shared" si="61"/>
        <v>0</v>
      </c>
      <c r="N108" s="36"/>
      <c r="O108" s="102">
        <f t="shared" si="62"/>
        <v>0</v>
      </c>
      <c r="P108" s="102">
        <f t="shared" si="63"/>
        <v>0</v>
      </c>
      <c r="Q108" s="102">
        <f t="shared" si="64"/>
        <v>0</v>
      </c>
      <c r="S108" s="2"/>
      <c r="T108" s="2"/>
    </row>
    <row r="109" spans="4:20" hidden="1" outlineLevel="1">
      <c r="E109" s="3" t="str">
        <f>PlayerPool!B96</f>
        <v>Martin Guptill</v>
      </c>
      <c r="F109" s="36">
        <v>38</v>
      </c>
      <c r="G109" s="102">
        <f t="shared" si="58"/>
        <v>38</v>
      </c>
      <c r="H109" s="36"/>
      <c r="I109" s="102">
        <f t="shared" si="59"/>
        <v>0</v>
      </c>
      <c r="J109" s="36"/>
      <c r="K109" s="102">
        <f t="shared" si="60"/>
        <v>0</v>
      </c>
      <c r="L109" s="36"/>
      <c r="M109" s="102">
        <f t="shared" si="61"/>
        <v>0</v>
      </c>
      <c r="N109" s="36"/>
      <c r="O109" s="102">
        <f t="shared" si="62"/>
        <v>0</v>
      </c>
      <c r="P109" s="102">
        <f t="shared" si="63"/>
        <v>38</v>
      </c>
      <c r="Q109" s="102">
        <f t="shared" si="64"/>
        <v>38</v>
      </c>
      <c r="S109" s="2"/>
      <c r="T109" s="2"/>
    </row>
    <row r="110" spans="4:20" hidden="1" outlineLevel="1">
      <c r="E110" s="3" t="str">
        <f>PlayerPool!B97</f>
        <v>Jamie How</v>
      </c>
      <c r="F110" s="36">
        <v>15</v>
      </c>
      <c r="G110" s="102">
        <f t="shared" si="58"/>
        <v>15</v>
      </c>
      <c r="H110" s="36"/>
      <c r="I110" s="102">
        <f t="shared" si="59"/>
        <v>0</v>
      </c>
      <c r="J110" s="36"/>
      <c r="K110" s="102">
        <f t="shared" si="60"/>
        <v>0</v>
      </c>
      <c r="L110" s="36"/>
      <c r="M110" s="102">
        <f t="shared" si="61"/>
        <v>0</v>
      </c>
      <c r="N110" s="36"/>
      <c r="O110" s="102">
        <f t="shared" si="62"/>
        <v>0</v>
      </c>
      <c r="P110" s="102">
        <f t="shared" si="63"/>
        <v>15</v>
      </c>
      <c r="Q110" s="102">
        <f t="shared" si="64"/>
        <v>15</v>
      </c>
      <c r="S110" s="2"/>
      <c r="T110" s="2"/>
    </row>
    <row r="111" spans="4:20" hidden="1" outlineLevel="1">
      <c r="E111" s="3" t="str">
        <f>PlayerPool!B98</f>
        <v>Brendon McCullum</v>
      </c>
      <c r="F111" s="36">
        <v>58</v>
      </c>
      <c r="G111" s="102">
        <f t="shared" si="58"/>
        <v>68</v>
      </c>
      <c r="H111" s="36"/>
      <c r="I111" s="102">
        <f t="shared" si="59"/>
        <v>0</v>
      </c>
      <c r="J111" s="36"/>
      <c r="K111" s="102">
        <f t="shared" si="60"/>
        <v>0</v>
      </c>
      <c r="L111" s="36"/>
      <c r="M111" s="102">
        <f t="shared" si="61"/>
        <v>0</v>
      </c>
      <c r="N111" s="36"/>
      <c r="O111" s="102">
        <f t="shared" si="62"/>
        <v>0</v>
      </c>
      <c r="P111" s="102">
        <f t="shared" si="63"/>
        <v>58</v>
      </c>
      <c r="Q111" s="102">
        <f t="shared" si="64"/>
        <v>68</v>
      </c>
      <c r="S111" s="2"/>
      <c r="T111" s="2"/>
    </row>
    <row r="112" spans="4:20" hidden="1" outlineLevel="1">
      <c r="E112" s="3" t="str">
        <f>PlayerPool!B99</f>
        <v>Nathan McCullum</v>
      </c>
      <c r="F112" s="36">
        <v>29</v>
      </c>
      <c r="G112" s="102">
        <f t="shared" si="58"/>
        <v>29</v>
      </c>
      <c r="H112" s="36"/>
      <c r="I112" s="102">
        <f t="shared" si="59"/>
        <v>0</v>
      </c>
      <c r="J112" s="36"/>
      <c r="K112" s="102">
        <f t="shared" si="60"/>
        <v>0</v>
      </c>
      <c r="L112" s="36"/>
      <c r="M112" s="102">
        <f t="shared" si="61"/>
        <v>0</v>
      </c>
      <c r="N112" s="36"/>
      <c r="O112" s="102">
        <f t="shared" si="62"/>
        <v>0</v>
      </c>
      <c r="P112" s="102">
        <f t="shared" si="63"/>
        <v>29</v>
      </c>
      <c r="Q112" s="102">
        <f t="shared" si="64"/>
        <v>29</v>
      </c>
      <c r="S112" s="2"/>
      <c r="T112" s="2"/>
    </row>
    <row r="113" spans="4:20" hidden="1" outlineLevel="1">
      <c r="E113" s="3" t="str">
        <f>PlayerPool!B100</f>
        <v>Kyle Mills</v>
      </c>
      <c r="F113" s="36">
        <v>2</v>
      </c>
      <c r="G113" s="102">
        <f t="shared" si="58"/>
        <v>2</v>
      </c>
      <c r="H113" s="36"/>
      <c r="I113" s="102">
        <f t="shared" si="59"/>
        <v>0</v>
      </c>
      <c r="J113" s="36"/>
      <c r="K113" s="102">
        <f t="shared" si="60"/>
        <v>0</v>
      </c>
      <c r="L113" s="36"/>
      <c r="M113" s="102">
        <f t="shared" si="61"/>
        <v>0</v>
      </c>
      <c r="N113" s="36"/>
      <c r="O113" s="102">
        <f t="shared" si="62"/>
        <v>0</v>
      </c>
      <c r="P113" s="102">
        <f t="shared" si="63"/>
        <v>2</v>
      </c>
      <c r="Q113" s="102">
        <f t="shared" si="64"/>
        <v>2</v>
      </c>
      <c r="S113" s="2"/>
      <c r="T113" s="2"/>
    </row>
    <row r="114" spans="4:20" hidden="1" outlineLevel="1">
      <c r="E114" s="3" t="str">
        <f>PlayerPool!B101</f>
        <v>Jacob Oram</v>
      </c>
      <c r="F114" s="36">
        <v>12</v>
      </c>
      <c r="G114" s="102">
        <f t="shared" si="58"/>
        <v>12</v>
      </c>
      <c r="H114" s="36"/>
      <c r="I114" s="102">
        <f t="shared" si="59"/>
        <v>0</v>
      </c>
      <c r="J114" s="36"/>
      <c r="K114" s="102">
        <f t="shared" si="60"/>
        <v>0</v>
      </c>
      <c r="L114" s="36"/>
      <c r="M114" s="102">
        <f t="shared" si="61"/>
        <v>0</v>
      </c>
      <c r="N114" s="36"/>
      <c r="O114" s="102">
        <f t="shared" si="62"/>
        <v>0</v>
      </c>
      <c r="P114" s="102">
        <f t="shared" si="63"/>
        <v>12</v>
      </c>
      <c r="Q114" s="102">
        <f t="shared" si="64"/>
        <v>12</v>
      </c>
      <c r="S114" s="2"/>
      <c r="T114" s="2"/>
    </row>
    <row r="115" spans="4:20" hidden="1" outlineLevel="1">
      <c r="E115" s="3" t="str">
        <f>PlayerPool!B102</f>
        <v>Jesse Ryder</v>
      </c>
      <c r="F115" s="36">
        <v>32</v>
      </c>
      <c r="G115" s="102">
        <f t="shared" si="58"/>
        <v>32</v>
      </c>
      <c r="H115" s="36"/>
      <c r="I115" s="102">
        <f t="shared" si="59"/>
        <v>0</v>
      </c>
      <c r="J115" s="36"/>
      <c r="K115" s="102">
        <f t="shared" si="60"/>
        <v>0</v>
      </c>
      <c r="L115" s="36"/>
      <c r="M115" s="102">
        <f t="shared" si="61"/>
        <v>0</v>
      </c>
      <c r="N115" s="36"/>
      <c r="O115" s="102">
        <f t="shared" si="62"/>
        <v>0</v>
      </c>
      <c r="P115" s="102">
        <f t="shared" si="63"/>
        <v>32</v>
      </c>
      <c r="Q115" s="102">
        <f t="shared" si="64"/>
        <v>32</v>
      </c>
      <c r="S115" s="2"/>
      <c r="T115" s="2"/>
    </row>
    <row r="116" spans="4:20" hidden="1" outlineLevel="1">
      <c r="E116" s="3" t="str">
        <f>PlayerPool!B103</f>
        <v>Tim Southee</v>
      </c>
      <c r="F116" s="36"/>
      <c r="G116" s="102">
        <f t="shared" si="58"/>
        <v>0</v>
      </c>
      <c r="H116" s="36"/>
      <c r="I116" s="102">
        <f t="shared" si="59"/>
        <v>0</v>
      </c>
      <c r="J116" s="36"/>
      <c r="K116" s="102">
        <f t="shared" si="60"/>
        <v>0</v>
      </c>
      <c r="L116" s="36"/>
      <c r="M116" s="102">
        <f t="shared" si="61"/>
        <v>0</v>
      </c>
      <c r="N116" s="36"/>
      <c r="O116" s="102">
        <f t="shared" si="62"/>
        <v>0</v>
      </c>
      <c r="P116" s="102">
        <f t="shared" si="63"/>
        <v>0</v>
      </c>
      <c r="Q116" s="102">
        <f t="shared" si="64"/>
        <v>0</v>
      </c>
      <c r="S116" s="2"/>
      <c r="T116" s="2"/>
    </row>
    <row r="117" spans="4:20" hidden="1" outlineLevel="1">
      <c r="E117" s="3" t="str">
        <f>PlayerPool!B104</f>
        <v>Scott Styris</v>
      </c>
      <c r="F117" s="36">
        <v>20</v>
      </c>
      <c r="G117" s="102">
        <f t="shared" si="58"/>
        <v>20</v>
      </c>
      <c r="H117" s="36"/>
      <c r="I117" s="102">
        <f t="shared" si="59"/>
        <v>0</v>
      </c>
      <c r="J117" s="36"/>
      <c r="K117" s="102">
        <f t="shared" si="60"/>
        <v>0</v>
      </c>
      <c r="L117" s="36"/>
      <c r="M117" s="102">
        <f t="shared" si="61"/>
        <v>0</v>
      </c>
      <c r="N117" s="36"/>
      <c r="O117" s="102">
        <f t="shared" si="62"/>
        <v>0</v>
      </c>
      <c r="P117" s="102">
        <f t="shared" si="63"/>
        <v>20</v>
      </c>
      <c r="Q117" s="102">
        <f t="shared" si="64"/>
        <v>20</v>
      </c>
      <c r="S117" s="2"/>
      <c r="T117" s="2"/>
    </row>
    <row r="118" spans="4:20" hidden="1" outlineLevel="1">
      <c r="E118" s="3" t="str">
        <f>PlayerPool!B105</f>
        <v>Ross Taylor</v>
      </c>
      <c r="F118" s="36">
        <v>5</v>
      </c>
      <c r="G118" s="102">
        <f t="shared" si="58"/>
        <v>5</v>
      </c>
      <c r="H118" s="36"/>
      <c r="I118" s="102">
        <f t="shared" si="59"/>
        <v>0</v>
      </c>
      <c r="J118" s="36"/>
      <c r="K118" s="102">
        <f t="shared" si="60"/>
        <v>0</v>
      </c>
      <c r="L118" s="36"/>
      <c r="M118" s="102">
        <f t="shared" si="61"/>
        <v>0</v>
      </c>
      <c r="N118" s="36"/>
      <c r="O118" s="102">
        <f t="shared" si="62"/>
        <v>0</v>
      </c>
      <c r="P118" s="102">
        <f t="shared" si="63"/>
        <v>5</v>
      </c>
      <c r="Q118" s="102">
        <f t="shared" si="64"/>
        <v>5</v>
      </c>
      <c r="S118" s="2"/>
      <c r="T118" s="2"/>
    </row>
    <row r="119" spans="4:20" hidden="1" outlineLevel="1">
      <c r="E119" s="3" t="str">
        <f>PlayerPool!B106</f>
        <v>Kane Williamson</v>
      </c>
      <c r="F119" s="36"/>
      <c r="G119" s="102">
        <f t="shared" si="58"/>
        <v>0</v>
      </c>
      <c r="H119" s="36"/>
      <c r="I119" s="102">
        <f t="shared" si="59"/>
        <v>0</v>
      </c>
      <c r="J119" s="36"/>
      <c r="K119" s="102">
        <f t="shared" si="60"/>
        <v>0</v>
      </c>
      <c r="L119" s="36"/>
      <c r="M119" s="102">
        <f t="shared" si="61"/>
        <v>0</v>
      </c>
      <c r="N119" s="36"/>
      <c r="O119" s="102">
        <f t="shared" si="62"/>
        <v>0</v>
      </c>
      <c r="P119" s="102">
        <f t="shared" si="63"/>
        <v>0</v>
      </c>
      <c r="Q119" s="102">
        <f t="shared" si="64"/>
        <v>0</v>
      </c>
      <c r="S119" s="2"/>
      <c r="T119" s="2"/>
    </row>
    <row r="120" spans="4:20" hidden="1" outlineLevel="1">
      <c r="E120" s="3" t="str">
        <f>PlayerPool!B107</f>
        <v>Luke Woodcock</v>
      </c>
      <c r="F120" s="36">
        <v>9</v>
      </c>
      <c r="G120" s="102">
        <f t="shared" si="58"/>
        <v>9</v>
      </c>
      <c r="H120" s="36"/>
      <c r="I120" s="102">
        <f t="shared" si="59"/>
        <v>0</v>
      </c>
      <c r="J120" s="36"/>
      <c r="K120" s="102">
        <f t="shared" si="60"/>
        <v>0</v>
      </c>
      <c r="L120" s="36"/>
      <c r="M120" s="102">
        <f t="shared" si="61"/>
        <v>0</v>
      </c>
      <c r="N120" s="36"/>
      <c r="O120" s="102">
        <f t="shared" si="62"/>
        <v>0</v>
      </c>
      <c r="P120" s="102">
        <f t="shared" si="63"/>
        <v>9</v>
      </c>
      <c r="Q120" s="102">
        <f t="shared" si="64"/>
        <v>9</v>
      </c>
      <c r="S120" s="2"/>
      <c r="T120" s="2"/>
    </row>
    <row r="121" spans="4:20" collapsed="1">
      <c r="D121" s="5" t="s">
        <v>102</v>
      </c>
      <c r="F121" s="105">
        <f>SUM(F122:F136)</f>
        <v>0</v>
      </c>
      <c r="G121" s="104">
        <f t="shared" ref="G121" si="86">SUM(G122:G136)</f>
        <v>0</v>
      </c>
      <c r="H121" s="105">
        <f t="shared" ref="H121" si="87">SUM(H122:H136)</f>
        <v>0</v>
      </c>
      <c r="I121" s="104">
        <f t="shared" ref="I121" si="88">SUM(I122:I136)</f>
        <v>0</v>
      </c>
      <c r="J121" s="105">
        <f t="shared" ref="J121" si="89">SUM(J122:J136)</f>
        <v>0</v>
      </c>
      <c r="K121" s="104">
        <f t="shared" ref="K121" si="90">SUM(K122:K136)</f>
        <v>0</v>
      </c>
      <c r="L121" s="105">
        <f t="shared" ref="L121" si="91">SUM(L122:L136)</f>
        <v>0</v>
      </c>
      <c r="M121" s="104">
        <f t="shared" ref="M121" si="92">SUM(M122:M136)</f>
        <v>0</v>
      </c>
      <c r="N121" s="105">
        <f t="shared" ref="N121" si="93">SUM(N122:N136)</f>
        <v>0</v>
      </c>
      <c r="O121" s="104">
        <f t="shared" ref="O121" si="94">SUM(O122:O136)</f>
        <v>0</v>
      </c>
      <c r="P121" s="105">
        <f t="shared" ref="P121" si="95">SUM(P122:P136)</f>
        <v>0</v>
      </c>
      <c r="Q121" s="104">
        <f t="shared" ref="Q121" si="96">SUM(Q122:Q136)</f>
        <v>0</v>
      </c>
      <c r="S121" s="2"/>
      <c r="T121" s="2"/>
    </row>
    <row r="122" spans="4:20" hidden="1" outlineLevel="1">
      <c r="E122" s="3" t="str">
        <f>PlayerPool!B108</f>
        <v>Darren Sammy</v>
      </c>
      <c r="F122" s="36"/>
      <c r="G122" s="102">
        <f t="shared" si="58"/>
        <v>0</v>
      </c>
      <c r="H122" s="36"/>
      <c r="I122" s="102">
        <f t="shared" si="59"/>
        <v>0</v>
      </c>
      <c r="J122" s="36"/>
      <c r="K122" s="102">
        <f t="shared" si="60"/>
        <v>0</v>
      </c>
      <c r="L122" s="36"/>
      <c r="M122" s="102">
        <f t="shared" si="61"/>
        <v>0</v>
      </c>
      <c r="N122" s="36"/>
      <c r="O122" s="102">
        <f t="shared" si="62"/>
        <v>0</v>
      </c>
      <c r="P122" s="102">
        <f t="shared" si="63"/>
        <v>0</v>
      </c>
      <c r="Q122" s="102">
        <f t="shared" si="64"/>
        <v>0</v>
      </c>
      <c r="S122" s="2"/>
      <c r="T122" s="2"/>
    </row>
    <row r="123" spans="4:20" hidden="1" outlineLevel="1">
      <c r="E123" s="3" t="str">
        <f>PlayerPool!B109</f>
        <v>Adrian Barath</v>
      </c>
      <c r="F123" s="36"/>
      <c r="G123" s="102">
        <f t="shared" si="58"/>
        <v>0</v>
      </c>
      <c r="H123" s="36"/>
      <c r="I123" s="102">
        <f t="shared" si="59"/>
        <v>0</v>
      </c>
      <c r="J123" s="36"/>
      <c r="K123" s="102">
        <f t="shared" si="60"/>
        <v>0</v>
      </c>
      <c r="L123" s="36"/>
      <c r="M123" s="102">
        <f t="shared" si="61"/>
        <v>0</v>
      </c>
      <c r="N123" s="36"/>
      <c r="O123" s="102">
        <f t="shared" si="62"/>
        <v>0</v>
      </c>
      <c r="P123" s="102">
        <f t="shared" si="63"/>
        <v>0</v>
      </c>
      <c r="Q123" s="102">
        <f t="shared" si="64"/>
        <v>0</v>
      </c>
      <c r="S123" s="2"/>
      <c r="T123" s="2"/>
    </row>
    <row r="124" spans="4:20" hidden="1" outlineLevel="1">
      <c r="E124" s="3" t="str">
        <f>PlayerPool!B110</f>
        <v>Carlton Baugh</v>
      </c>
      <c r="F124" s="36"/>
      <c r="G124" s="102">
        <f t="shared" si="58"/>
        <v>0</v>
      </c>
      <c r="H124" s="36"/>
      <c r="I124" s="102">
        <f t="shared" si="59"/>
        <v>0</v>
      </c>
      <c r="J124" s="36"/>
      <c r="K124" s="102">
        <f t="shared" si="60"/>
        <v>0</v>
      </c>
      <c r="L124" s="36"/>
      <c r="M124" s="102">
        <f t="shared" si="61"/>
        <v>0</v>
      </c>
      <c r="N124" s="36"/>
      <c r="O124" s="102">
        <f t="shared" si="62"/>
        <v>0</v>
      </c>
      <c r="P124" s="102">
        <f t="shared" si="63"/>
        <v>0</v>
      </c>
      <c r="Q124" s="102">
        <f t="shared" si="64"/>
        <v>0</v>
      </c>
      <c r="S124" s="2"/>
      <c r="T124" s="2"/>
    </row>
    <row r="125" spans="4:20" hidden="1" outlineLevel="1">
      <c r="E125" s="3" t="str">
        <f>PlayerPool!B111</f>
        <v>Sulieman Benn</v>
      </c>
      <c r="F125" s="36"/>
      <c r="G125" s="102">
        <f t="shared" si="58"/>
        <v>0</v>
      </c>
      <c r="H125" s="36"/>
      <c r="I125" s="102">
        <f t="shared" si="59"/>
        <v>0</v>
      </c>
      <c r="J125" s="36"/>
      <c r="K125" s="102">
        <f t="shared" si="60"/>
        <v>0</v>
      </c>
      <c r="L125" s="36"/>
      <c r="M125" s="102">
        <f t="shared" si="61"/>
        <v>0</v>
      </c>
      <c r="N125" s="36"/>
      <c r="O125" s="102">
        <f t="shared" si="62"/>
        <v>0</v>
      </c>
      <c r="P125" s="102">
        <f t="shared" si="63"/>
        <v>0</v>
      </c>
      <c r="Q125" s="102">
        <f t="shared" si="64"/>
        <v>0</v>
      </c>
      <c r="S125" s="2"/>
      <c r="T125" s="2"/>
    </row>
    <row r="126" spans="4:20" hidden="1" outlineLevel="1">
      <c r="E126" s="3" t="str">
        <f>PlayerPool!B112</f>
        <v>Dwayne Bravo</v>
      </c>
      <c r="F126" s="36"/>
      <c r="G126" s="102">
        <f t="shared" si="58"/>
        <v>0</v>
      </c>
      <c r="H126" s="36"/>
      <c r="I126" s="102">
        <f t="shared" si="59"/>
        <v>0</v>
      </c>
      <c r="J126" s="36"/>
      <c r="K126" s="102">
        <f t="shared" si="60"/>
        <v>0</v>
      </c>
      <c r="L126" s="36"/>
      <c r="M126" s="102">
        <f t="shared" si="61"/>
        <v>0</v>
      </c>
      <c r="N126" s="36"/>
      <c r="O126" s="102">
        <f t="shared" si="62"/>
        <v>0</v>
      </c>
      <c r="P126" s="102">
        <f t="shared" si="63"/>
        <v>0</v>
      </c>
      <c r="Q126" s="102">
        <f t="shared" si="64"/>
        <v>0</v>
      </c>
      <c r="S126" s="2"/>
      <c r="T126" s="2"/>
    </row>
    <row r="127" spans="4:20" hidden="1" outlineLevel="1">
      <c r="E127" s="3" t="str">
        <f>PlayerPool!B113</f>
        <v>Darren Bravo</v>
      </c>
      <c r="F127" s="36"/>
      <c r="G127" s="102">
        <f t="shared" si="58"/>
        <v>0</v>
      </c>
      <c r="H127" s="36"/>
      <c r="I127" s="102">
        <f t="shared" si="59"/>
        <v>0</v>
      </c>
      <c r="J127" s="36"/>
      <c r="K127" s="102">
        <f t="shared" si="60"/>
        <v>0</v>
      </c>
      <c r="L127" s="36"/>
      <c r="M127" s="102">
        <f t="shared" si="61"/>
        <v>0</v>
      </c>
      <c r="N127" s="36"/>
      <c r="O127" s="102">
        <f t="shared" si="62"/>
        <v>0</v>
      </c>
      <c r="P127" s="102">
        <f t="shared" si="63"/>
        <v>0</v>
      </c>
      <c r="Q127" s="102">
        <f t="shared" si="64"/>
        <v>0</v>
      </c>
      <c r="S127" s="2"/>
      <c r="T127" s="2"/>
    </row>
    <row r="128" spans="4:20" hidden="1" outlineLevel="1">
      <c r="E128" s="3" t="str">
        <f>PlayerPool!B114</f>
        <v>Shivnarine Chanderpaul</v>
      </c>
      <c r="F128" s="36"/>
      <c r="G128" s="102">
        <f t="shared" si="58"/>
        <v>0</v>
      </c>
      <c r="H128" s="36"/>
      <c r="I128" s="102">
        <f t="shared" si="59"/>
        <v>0</v>
      </c>
      <c r="J128" s="36"/>
      <c r="K128" s="102">
        <f t="shared" si="60"/>
        <v>0</v>
      </c>
      <c r="L128" s="36"/>
      <c r="M128" s="102">
        <f t="shared" si="61"/>
        <v>0</v>
      </c>
      <c r="N128" s="36"/>
      <c r="O128" s="102">
        <f t="shared" si="62"/>
        <v>0</v>
      </c>
      <c r="P128" s="102">
        <f t="shared" si="63"/>
        <v>0</v>
      </c>
      <c r="Q128" s="102">
        <f t="shared" si="64"/>
        <v>0</v>
      </c>
      <c r="S128" s="2"/>
      <c r="T128" s="2"/>
    </row>
    <row r="129" spans="4:20" hidden="1" outlineLevel="1">
      <c r="E129" s="3" t="str">
        <f>PlayerPool!B115</f>
        <v>Chris Gayle</v>
      </c>
      <c r="F129" s="36"/>
      <c r="G129" s="102">
        <f t="shared" si="58"/>
        <v>0</v>
      </c>
      <c r="H129" s="36"/>
      <c r="I129" s="102">
        <f t="shared" si="59"/>
        <v>0</v>
      </c>
      <c r="J129" s="36"/>
      <c r="K129" s="102">
        <f t="shared" si="60"/>
        <v>0</v>
      </c>
      <c r="L129" s="36"/>
      <c r="M129" s="102">
        <f t="shared" si="61"/>
        <v>0</v>
      </c>
      <c r="N129" s="36"/>
      <c r="O129" s="102">
        <f t="shared" si="62"/>
        <v>0</v>
      </c>
      <c r="P129" s="102">
        <f t="shared" si="63"/>
        <v>0</v>
      </c>
      <c r="Q129" s="102">
        <f t="shared" si="64"/>
        <v>0</v>
      </c>
      <c r="S129" s="2"/>
      <c r="T129" s="2"/>
    </row>
    <row r="130" spans="4:20" hidden="1" outlineLevel="1">
      <c r="E130" s="3" t="str">
        <f>PlayerPool!B116</f>
        <v>Nikita Miller</v>
      </c>
      <c r="F130" s="36"/>
      <c r="G130" s="102">
        <f t="shared" si="58"/>
        <v>0</v>
      </c>
      <c r="H130" s="36"/>
      <c r="I130" s="102">
        <f t="shared" si="59"/>
        <v>0</v>
      </c>
      <c r="J130" s="36"/>
      <c r="K130" s="102">
        <f t="shared" si="60"/>
        <v>0</v>
      </c>
      <c r="L130" s="36"/>
      <c r="M130" s="102">
        <f t="shared" si="61"/>
        <v>0</v>
      </c>
      <c r="N130" s="36"/>
      <c r="O130" s="102">
        <f t="shared" si="62"/>
        <v>0</v>
      </c>
      <c r="P130" s="102">
        <f t="shared" si="63"/>
        <v>0</v>
      </c>
      <c r="Q130" s="102">
        <f t="shared" si="64"/>
        <v>0</v>
      </c>
      <c r="S130" s="2"/>
      <c r="T130" s="2"/>
    </row>
    <row r="131" spans="4:20" hidden="1" outlineLevel="1">
      <c r="E131" s="3" t="str">
        <f>PlayerPool!B117</f>
        <v>Kieron Pollard</v>
      </c>
      <c r="F131" s="36"/>
      <c r="G131" s="102">
        <f t="shared" si="58"/>
        <v>0</v>
      </c>
      <c r="H131" s="36"/>
      <c r="I131" s="102">
        <f t="shared" si="59"/>
        <v>0</v>
      </c>
      <c r="J131" s="36"/>
      <c r="K131" s="102">
        <f t="shared" si="60"/>
        <v>0</v>
      </c>
      <c r="L131" s="36"/>
      <c r="M131" s="102">
        <f t="shared" si="61"/>
        <v>0</v>
      </c>
      <c r="N131" s="36"/>
      <c r="O131" s="102">
        <f t="shared" si="62"/>
        <v>0</v>
      </c>
      <c r="P131" s="102">
        <f t="shared" si="63"/>
        <v>0</v>
      </c>
      <c r="Q131" s="102">
        <f t="shared" si="64"/>
        <v>0</v>
      </c>
      <c r="S131" s="2"/>
      <c r="T131" s="2"/>
    </row>
    <row r="132" spans="4:20" hidden="1" outlineLevel="1">
      <c r="E132" s="3" t="str">
        <f>PlayerPool!B118</f>
        <v>Ravi Rampaul</v>
      </c>
      <c r="F132" s="36"/>
      <c r="G132" s="102">
        <f t="shared" si="58"/>
        <v>0</v>
      </c>
      <c r="H132" s="36"/>
      <c r="I132" s="102">
        <f t="shared" si="59"/>
        <v>0</v>
      </c>
      <c r="J132" s="36"/>
      <c r="K132" s="102">
        <f t="shared" si="60"/>
        <v>0</v>
      </c>
      <c r="L132" s="36"/>
      <c r="M132" s="102">
        <f t="shared" si="61"/>
        <v>0</v>
      </c>
      <c r="N132" s="36"/>
      <c r="O132" s="102">
        <f t="shared" si="62"/>
        <v>0</v>
      </c>
      <c r="P132" s="102">
        <f t="shared" si="63"/>
        <v>0</v>
      </c>
      <c r="Q132" s="102">
        <f t="shared" si="64"/>
        <v>0</v>
      </c>
      <c r="S132" s="2"/>
      <c r="T132" s="2"/>
    </row>
    <row r="133" spans="4:20" hidden="1" outlineLevel="1">
      <c r="E133" s="3" t="str">
        <f>PlayerPool!B119</f>
        <v>Kemar Roach</v>
      </c>
      <c r="F133" s="36"/>
      <c r="G133" s="102">
        <f t="shared" si="58"/>
        <v>0</v>
      </c>
      <c r="H133" s="36"/>
      <c r="I133" s="102">
        <f t="shared" si="59"/>
        <v>0</v>
      </c>
      <c r="J133" s="36"/>
      <c r="K133" s="102">
        <f t="shared" si="60"/>
        <v>0</v>
      </c>
      <c r="L133" s="36"/>
      <c r="M133" s="102">
        <f t="shared" si="61"/>
        <v>0</v>
      </c>
      <c r="N133" s="36"/>
      <c r="O133" s="102">
        <f t="shared" si="62"/>
        <v>0</v>
      </c>
      <c r="P133" s="102">
        <f t="shared" si="63"/>
        <v>0</v>
      </c>
      <c r="Q133" s="102">
        <f t="shared" si="64"/>
        <v>0</v>
      </c>
      <c r="S133" s="2"/>
      <c r="T133" s="2"/>
    </row>
    <row r="134" spans="4:20" hidden="1" outlineLevel="1">
      <c r="E134" s="3" t="str">
        <f>PlayerPool!B120</f>
        <v>Andre Russell</v>
      </c>
      <c r="F134" s="36"/>
      <c r="G134" s="102">
        <f t="shared" si="58"/>
        <v>0</v>
      </c>
      <c r="H134" s="36"/>
      <c r="I134" s="102">
        <f t="shared" si="59"/>
        <v>0</v>
      </c>
      <c r="J134" s="36"/>
      <c r="K134" s="102">
        <f t="shared" si="60"/>
        <v>0</v>
      </c>
      <c r="L134" s="36"/>
      <c r="M134" s="102">
        <f t="shared" si="61"/>
        <v>0</v>
      </c>
      <c r="N134" s="36"/>
      <c r="O134" s="102">
        <f t="shared" si="62"/>
        <v>0</v>
      </c>
      <c r="P134" s="102">
        <f t="shared" si="63"/>
        <v>0</v>
      </c>
      <c r="Q134" s="102">
        <f t="shared" si="64"/>
        <v>0</v>
      </c>
      <c r="S134" s="2"/>
      <c r="T134" s="2"/>
    </row>
    <row r="135" spans="4:20" hidden="1" outlineLevel="1">
      <c r="E135" s="3" t="str">
        <f>PlayerPool!B121</f>
        <v>Ramnaresh Sarwan</v>
      </c>
      <c r="F135" s="36"/>
      <c r="G135" s="102">
        <f t="shared" si="58"/>
        <v>0</v>
      </c>
      <c r="H135" s="36"/>
      <c r="I135" s="102">
        <f t="shared" si="59"/>
        <v>0</v>
      </c>
      <c r="J135" s="36"/>
      <c r="K135" s="102">
        <f t="shared" si="60"/>
        <v>0</v>
      </c>
      <c r="L135" s="36"/>
      <c r="M135" s="102">
        <f t="shared" si="61"/>
        <v>0</v>
      </c>
      <c r="N135" s="36"/>
      <c r="O135" s="102">
        <f t="shared" si="62"/>
        <v>0</v>
      </c>
      <c r="P135" s="102">
        <f t="shared" si="63"/>
        <v>0</v>
      </c>
      <c r="Q135" s="102">
        <f t="shared" si="64"/>
        <v>0</v>
      </c>
      <c r="S135" s="2"/>
      <c r="T135" s="2"/>
    </row>
    <row r="136" spans="4:20" hidden="1" outlineLevel="1">
      <c r="E136" s="3" t="str">
        <f>PlayerPool!B122</f>
        <v>Devon Smith</v>
      </c>
      <c r="F136" s="36"/>
      <c r="G136" s="102">
        <f t="shared" si="58"/>
        <v>0</v>
      </c>
      <c r="H136" s="36"/>
      <c r="I136" s="102">
        <f t="shared" si="59"/>
        <v>0</v>
      </c>
      <c r="J136" s="36"/>
      <c r="K136" s="102">
        <f t="shared" si="60"/>
        <v>0</v>
      </c>
      <c r="L136" s="36"/>
      <c r="M136" s="102">
        <f t="shared" si="61"/>
        <v>0</v>
      </c>
      <c r="N136" s="36"/>
      <c r="O136" s="102">
        <f t="shared" si="62"/>
        <v>0</v>
      </c>
      <c r="P136" s="102">
        <f t="shared" si="63"/>
        <v>0</v>
      </c>
      <c r="Q136" s="102">
        <f t="shared" si="64"/>
        <v>0</v>
      </c>
      <c r="S136" s="2"/>
      <c r="T136" s="2"/>
    </row>
    <row r="137" spans="4:20" collapsed="1">
      <c r="D137" s="5" t="s">
        <v>101</v>
      </c>
      <c r="F137" s="105">
        <f>SUM(F138:F152)</f>
        <v>260</v>
      </c>
      <c r="G137" s="104">
        <f t="shared" ref="G137" si="97">SUM(G138:G152)</f>
        <v>290</v>
      </c>
      <c r="H137" s="105">
        <f t="shared" ref="H137" si="98">SUM(H138:H152)</f>
        <v>0</v>
      </c>
      <c r="I137" s="104">
        <f t="shared" ref="I137" si="99">SUM(I138:I152)</f>
        <v>0</v>
      </c>
      <c r="J137" s="105">
        <f t="shared" ref="J137" si="100">SUM(J138:J152)</f>
        <v>0</v>
      </c>
      <c r="K137" s="104">
        <f t="shared" ref="K137" si="101">SUM(K138:K152)</f>
        <v>0</v>
      </c>
      <c r="L137" s="105">
        <f t="shared" ref="L137" si="102">SUM(L138:L152)</f>
        <v>0</v>
      </c>
      <c r="M137" s="104">
        <f t="shared" ref="M137" si="103">SUM(M138:M152)</f>
        <v>0</v>
      </c>
      <c r="N137" s="105">
        <f t="shared" ref="N137" si="104">SUM(N138:N152)</f>
        <v>0</v>
      </c>
      <c r="O137" s="104">
        <f t="shared" ref="O137" si="105">SUM(O138:O152)</f>
        <v>0</v>
      </c>
      <c r="P137" s="105">
        <f t="shared" ref="P137" si="106">SUM(P138:P152)</f>
        <v>260</v>
      </c>
      <c r="Q137" s="104">
        <f t="shared" ref="Q137" si="107">SUM(Q138:Q152)</f>
        <v>290</v>
      </c>
    </row>
    <row r="138" spans="4:20" hidden="1" outlineLevel="1">
      <c r="E138" s="3" t="str">
        <f>PlayerPool!B123</f>
        <v>Shakib Al Hasan</v>
      </c>
      <c r="F138" s="36">
        <v>2</v>
      </c>
      <c r="G138" s="102">
        <f t="shared" si="58"/>
        <v>2</v>
      </c>
      <c r="H138" s="36"/>
      <c r="I138" s="102">
        <f t="shared" si="59"/>
        <v>0</v>
      </c>
      <c r="J138" s="36"/>
      <c r="K138" s="102">
        <f t="shared" si="60"/>
        <v>0</v>
      </c>
      <c r="L138" s="36"/>
      <c r="M138" s="102">
        <f t="shared" si="61"/>
        <v>0</v>
      </c>
      <c r="N138" s="36"/>
      <c r="O138" s="102">
        <f t="shared" si="62"/>
        <v>0</v>
      </c>
      <c r="P138" s="102">
        <f t="shared" si="63"/>
        <v>2</v>
      </c>
      <c r="Q138" s="102">
        <f t="shared" si="64"/>
        <v>2</v>
      </c>
    </row>
    <row r="139" spans="4:20" hidden="1" outlineLevel="1">
      <c r="E139" s="3" t="str">
        <f>PlayerPool!B124</f>
        <v>Tamim Iqbal</v>
      </c>
      <c r="F139" s="36">
        <v>62</v>
      </c>
      <c r="G139" s="102">
        <f t="shared" ref="G139:G152" si="108">F139*$C$3+IF(F139&gt;199,$C$7,IF(F139&gt;149,$C$6,IF(F139&gt;99,$C$5,IF(F139&gt;49,$C$4,0))))</f>
        <v>72</v>
      </c>
      <c r="H139" s="36"/>
      <c r="I139" s="102">
        <f t="shared" ref="I139:I152" si="109">H139*$C$3+IF(H139&gt;199,$C$7,IF(H139&gt;149,$C$6,IF(H139&gt;99,$C$5,IF(H139&gt;49,$C$4,0))))</f>
        <v>0</v>
      </c>
      <c r="J139" s="36"/>
      <c r="K139" s="102">
        <f t="shared" ref="K139:K152" si="110">J139*$C$3+IF(J139&gt;199,$C$7,IF(J139&gt;149,$C$6,IF(J139&gt;99,$C$5,IF(J139&gt;49,$C$4,0))))</f>
        <v>0</v>
      </c>
      <c r="L139" s="36"/>
      <c r="M139" s="102">
        <f t="shared" ref="M139:M152" si="111">L139*$C$3+IF(L139&gt;199,$C$7,IF(L139&gt;149,$C$6,IF(L139&gt;99,$C$5,IF(L139&gt;49,$C$4,0))))</f>
        <v>0</v>
      </c>
      <c r="N139" s="36"/>
      <c r="O139" s="102">
        <f t="shared" ref="O139:O152" si="112">N139*$C$3+IF(N139&gt;199,$C$7,IF(N139&gt;149,$C$6,IF(N139&gt;99,$C$5,IF(N139&gt;49,$C$4,0))))</f>
        <v>0</v>
      </c>
      <c r="P139" s="102">
        <f t="shared" ref="P139:P152" si="113">SUM(F139,H139,J139,L139,N139)</f>
        <v>62</v>
      </c>
      <c r="Q139" s="102">
        <f t="shared" ref="Q139:Q152" si="114">SUM(G139,I139,K139,M139,O139)</f>
        <v>72</v>
      </c>
    </row>
    <row r="140" spans="4:20" hidden="1" outlineLevel="1">
      <c r="E140" s="3" t="str">
        <f>PlayerPool!B125</f>
        <v>Abdur Razzak</v>
      </c>
      <c r="F140" s="36">
        <v>80</v>
      </c>
      <c r="G140" s="102">
        <f t="shared" si="108"/>
        <v>90</v>
      </c>
      <c r="H140" s="36"/>
      <c r="I140" s="102">
        <f t="shared" si="109"/>
        <v>0</v>
      </c>
      <c r="J140" s="36"/>
      <c r="K140" s="102">
        <f t="shared" si="110"/>
        <v>0</v>
      </c>
      <c r="L140" s="36"/>
      <c r="M140" s="102">
        <f t="shared" si="111"/>
        <v>0</v>
      </c>
      <c r="N140" s="36"/>
      <c r="O140" s="102">
        <f t="shared" si="112"/>
        <v>0</v>
      </c>
      <c r="P140" s="102">
        <f t="shared" si="113"/>
        <v>80</v>
      </c>
      <c r="Q140" s="102">
        <f t="shared" si="114"/>
        <v>90</v>
      </c>
    </row>
    <row r="141" spans="4:20" hidden="1" outlineLevel="1">
      <c r="E141" s="3" t="str">
        <f>PlayerPool!B126</f>
        <v>Imrul Kayes</v>
      </c>
      <c r="F141" s="36">
        <v>65</v>
      </c>
      <c r="G141" s="102">
        <f t="shared" si="108"/>
        <v>75</v>
      </c>
      <c r="H141" s="36"/>
      <c r="I141" s="102">
        <f t="shared" si="109"/>
        <v>0</v>
      </c>
      <c r="J141" s="36"/>
      <c r="K141" s="102">
        <f t="shared" si="110"/>
        <v>0</v>
      </c>
      <c r="L141" s="36"/>
      <c r="M141" s="102">
        <f t="shared" si="111"/>
        <v>0</v>
      </c>
      <c r="N141" s="36"/>
      <c r="O141" s="102">
        <f t="shared" si="112"/>
        <v>0</v>
      </c>
      <c r="P141" s="102">
        <f t="shared" si="113"/>
        <v>65</v>
      </c>
      <c r="Q141" s="102">
        <f t="shared" si="114"/>
        <v>75</v>
      </c>
    </row>
    <row r="142" spans="4:20" hidden="1" outlineLevel="1">
      <c r="E142" s="3" t="str">
        <f>PlayerPool!B127</f>
        <v>Junaid Siddique</v>
      </c>
      <c r="F142" s="36">
        <v>30</v>
      </c>
      <c r="G142" s="102">
        <f t="shared" si="108"/>
        <v>30</v>
      </c>
      <c r="H142" s="36"/>
      <c r="I142" s="102">
        <f t="shared" si="109"/>
        <v>0</v>
      </c>
      <c r="J142" s="36"/>
      <c r="K142" s="102">
        <f t="shared" si="110"/>
        <v>0</v>
      </c>
      <c r="L142" s="36"/>
      <c r="M142" s="102">
        <f t="shared" si="111"/>
        <v>0</v>
      </c>
      <c r="N142" s="36"/>
      <c r="O142" s="102">
        <f t="shared" si="112"/>
        <v>0</v>
      </c>
      <c r="P142" s="102">
        <f t="shared" si="113"/>
        <v>30</v>
      </c>
      <c r="Q142" s="102">
        <f t="shared" si="114"/>
        <v>30</v>
      </c>
    </row>
    <row r="143" spans="4:20" hidden="1" outlineLevel="1">
      <c r="E143" s="3" t="str">
        <f>PlayerPool!B128</f>
        <v>Mahmudullah</v>
      </c>
      <c r="F143" s="36">
        <v>5</v>
      </c>
      <c r="G143" s="102">
        <f t="shared" si="108"/>
        <v>5</v>
      </c>
      <c r="H143" s="36"/>
      <c r="I143" s="102">
        <f t="shared" si="109"/>
        <v>0</v>
      </c>
      <c r="J143" s="36"/>
      <c r="K143" s="102">
        <f t="shared" si="110"/>
        <v>0</v>
      </c>
      <c r="L143" s="36"/>
      <c r="M143" s="102">
        <f t="shared" si="111"/>
        <v>0</v>
      </c>
      <c r="N143" s="36"/>
      <c r="O143" s="102">
        <f t="shared" si="112"/>
        <v>0</v>
      </c>
      <c r="P143" s="102">
        <f t="shared" si="113"/>
        <v>5</v>
      </c>
      <c r="Q143" s="102">
        <f t="shared" si="114"/>
        <v>5</v>
      </c>
    </row>
    <row r="144" spans="4:20" hidden="1" outlineLevel="1">
      <c r="E144" s="3" t="str">
        <f>PlayerPool!B129</f>
        <v>Mohammad Ashraful</v>
      </c>
      <c r="F144" s="36">
        <v>2</v>
      </c>
      <c r="G144" s="102">
        <f t="shared" si="108"/>
        <v>2</v>
      </c>
      <c r="H144" s="36"/>
      <c r="I144" s="102">
        <f t="shared" si="109"/>
        <v>0</v>
      </c>
      <c r="J144" s="36"/>
      <c r="K144" s="102">
        <f t="shared" si="110"/>
        <v>0</v>
      </c>
      <c r="L144" s="36"/>
      <c r="M144" s="102">
        <f t="shared" si="111"/>
        <v>0</v>
      </c>
      <c r="N144" s="36"/>
      <c r="O144" s="102">
        <f t="shared" si="112"/>
        <v>0</v>
      </c>
      <c r="P144" s="102">
        <f t="shared" si="113"/>
        <v>2</v>
      </c>
      <c r="Q144" s="102">
        <f t="shared" si="114"/>
        <v>2</v>
      </c>
    </row>
    <row r="145" spans="5:17" hidden="1" outlineLevel="1">
      <c r="E145" s="3" t="str">
        <f>PlayerPool!B130</f>
        <v>Mushfique Rahim</v>
      </c>
      <c r="F145" s="36">
        <v>2</v>
      </c>
      <c r="G145" s="102">
        <f t="shared" si="108"/>
        <v>2</v>
      </c>
      <c r="H145" s="36"/>
      <c r="I145" s="102">
        <f t="shared" si="109"/>
        <v>0</v>
      </c>
      <c r="J145" s="36"/>
      <c r="K145" s="102">
        <f t="shared" si="110"/>
        <v>0</v>
      </c>
      <c r="L145" s="36"/>
      <c r="M145" s="102">
        <f t="shared" si="111"/>
        <v>0</v>
      </c>
      <c r="N145" s="36"/>
      <c r="O145" s="102">
        <f t="shared" si="112"/>
        <v>0</v>
      </c>
      <c r="P145" s="102">
        <f t="shared" si="113"/>
        <v>2</v>
      </c>
      <c r="Q145" s="102">
        <f t="shared" si="114"/>
        <v>2</v>
      </c>
    </row>
    <row r="146" spans="5:17" hidden="1" outlineLevel="1">
      <c r="E146" s="3" t="str">
        <f>PlayerPool!B131</f>
        <v>Naeem Islam</v>
      </c>
      <c r="F146" s="36">
        <v>8</v>
      </c>
      <c r="G146" s="102">
        <f t="shared" si="108"/>
        <v>8</v>
      </c>
      <c r="H146" s="36"/>
      <c r="I146" s="102">
        <f t="shared" si="109"/>
        <v>0</v>
      </c>
      <c r="J146" s="36"/>
      <c r="K146" s="102">
        <f t="shared" si="110"/>
        <v>0</v>
      </c>
      <c r="L146" s="36"/>
      <c r="M146" s="102">
        <f t="shared" si="111"/>
        <v>0</v>
      </c>
      <c r="N146" s="36"/>
      <c r="O146" s="102">
        <f t="shared" si="112"/>
        <v>0</v>
      </c>
      <c r="P146" s="102">
        <f t="shared" si="113"/>
        <v>8</v>
      </c>
      <c r="Q146" s="102">
        <f t="shared" si="114"/>
        <v>8</v>
      </c>
    </row>
    <row r="147" spans="5:17" hidden="1" outlineLevel="1">
      <c r="E147" s="3" t="str">
        <f>PlayerPool!B132</f>
        <v>Nazmul Hossain</v>
      </c>
      <c r="F147" s="36">
        <v>1</v>
      </c>
      <c r="G147" s="102">
        <f t="shared" si="108"/>
        <v>1</v>
      </c>
      <c r="H147" s="36"/>
      <c r="I147" s="102">
        <f t="shared" si="109"/>
        <v>0</v>
      </c>
      <c r="J147" s="36"/>
      <c r="K147" s="102">
        <f t="shared" si="110"/>
        <v>0</v>
      </c>
      <c r="L147" s="36"/>
      <c r="M147" s="102">
        <f t="shared" si="111"/>
        <v>0</v>
      </c>
      <c r="N147" s="36"/>
      <c r="O147" s="102">
        <f t="shared" si="112"/>
        <v>0</v>
      </c>
      <c r="P147" s="102">
        <f t="shared" si="113"/>
        <v>1</v>
      </c>
      <c r="Q147" s="102">
        <f t="shared" si="114"/>
        <v>1</v>
      </c>
    </row>
    <row r="148" spans="5:17" hidden="1" outlineLevel="1">
      <c r="E148" s="3" t="str">
        <f>PlayerPool!B133</f>
        <v>Raqibul Hasan</v>
      </c>
      <c r="F148" s="36">
        <v>3</v>
      </c>
      <c r="G148" s="102">
        <f t="shared" si="108"/>
        <v>3</v>
      </c>
      <c r="H148" s="36"/>
      <c r="I148" s="102">
        <f t="shared" si="109"/>
        <v>0</v>
      </c>
      <c r="J148" s="36"/>
      <c r="K148" s="102">
        <f t="shared" si="110"/>
        <v>0</v>
      </c>
      <c r="L148" s="36"/>
      <c r="M148" s="102">
        <f t="shared" si="111"/>
        <v>0</v>
      </c>
      <c r="N148" s="36"/>
      <c r="O148" s="102">
        <f t="shared" si="112"/>
        <v>0</v>
      </c>
      <c r="P148" s="102">
        <f t="shared" si="113"/>
        <v>3</v>
      </c>
      <c r="Q148" s="102">
        <f t="shared" si="114"/>
        <v>3</v>
      </c>
    </row>
    <row r="149" spans="5:17" hidden="1" outlineLevel="1">
      <c r="E149" s="3" t="str">
        <f>PlayerPool!B134</f>
        <v>Rubel Hossain</v>
      </c>
      <c r="F149" s="36"/>
      <c r="G149" s="102">
        <f t="shared" si="108"/>
        <v>0</v>
      </c>
      <c r="H149" s="36"/>
      <c r="I149" s="102">
        <f t="shared" si="109"/>
        <v>0</v>
      </c>
      <c r="J149" s="36"/>
      <c r="K149" s="102">
        <f t="shared" si="110"/>
        <v>0</v>
      </c>
      <c r="L149" s="36"/>
      <c r="M149" s="102">
        <f t="shared" si="111"/>
        <v>0</v>
      </c>
      <c r="N149" s="36"/>
      <c r="O149" s="102">
        <f t="shared" si="112"/>
        <v>0</v>
      </c>
      <c r="P149" s="102">
        <f t="shared" si="113"/>
        <v>0</v>
      </c>
      <c r="Q149" s="102">
        <f t="shared" si="114"/>
        <v>0</v>
      </c>
    </row>
    <row r="150" spans="5:17" hidden="1" outlineLevel="1">
      <c r="E150" s="3" t="str">
        <f>PlayerPool!B135</f>
        <v>Shafiul Islam</v>
      </c>
      <c r="F150" s="36"/>
      <c r="G150" s="102">
        <f t="shared" si="108"/>
        <v>0</v>
      </c>
      <c r="H150" s="36"/>
      <c r="I150" s="102">
        <f t="shared" si="109"/>
        <v>0</v>
      </c>
      <c r="J150" s="36"/>
      <c r="K150" s="102">
        <f t="shared" si="110"/>
        <v>0</v>
      </c>
      <c r="L150" s="36"/>
      <c r="M150" s="102">
        <f t="shared" si="111"/>
        <v>0</v>
      </c>
      <c r="N150" s="36"/>
      <c r="O150" s="102">
        <f t="shared" si="112"/>
        <v>0</v>
      </c>
      <c r="P150" s="102">
        <f t="shared" si="113"/>
        <v>0</v>
      </c>
      <c r="Q150" s="102">
        <f t="shared" si="114"/>
        <v>0</v>
      </c>
    </row>
    <row r="151" spans="5:17" hidden="1" outlineLevel="1">
      <c r="E151" s="3" t="str">
        <f>PlayerPool!B136</f>
        <v>Shahriar Nafees</v>
      </c>
      <c r="F151" s="36"/>
      <c r="G151" s="102">
        <f t="shared" si="108"/>
        <v>0</v>
      </c>
      <c r="H151" s="36"/>
      <c r="I151" s="102">
        <f t="shared" si="109"/>
        <v>0</v>
      </c>
      <c r="J151" s="36"/>
      <c r="K151" s="102">
        <f t="shared" si="110"/>
        <v>0</v>
      </c>
      <c r="L151" s="36"/>
      <c r="M151" s="102">
        <f t="shared" si="111"/>
        <v>0</v>
      </c>
      <c r="N151" s="36"/>
      <c r="O151" s="102">
        <f t="shared" si="112"/>
        <v>0</v>
      </c>
      <c r="P151" s="102">
        <f t="shared" si="113"/>
        <v>0</v>
      </c>
      <c r="Q151" s="102">
        <f t="shared" si="114"/>
        <v>0</v>
      </c>
    </row>
    <row r="152" spans="5:17" hidden="1" outlineLevel="1">
      <c r="E152" s="3" t="str">
        <f>PlayerPool!B137</f>
        <v>Suhrawadi Shuvo</v>
      </c>
      <c r="F152" s="36"/>
      <c r="G152" s="102">
        <f t="shared" si="108"/>
        <v>0</v>
      </c>
      <c r="H152" s="36"/>
      <c r="I152" s="102">
        <f t="shared" si="109"/>
        <v>0</v>
      </c>
      <c r="J152" s="36"/>
      <c r="K152" s="102">
        <f t="shared" si="110"/>
        <v>0</v>
      </c>
      <c r="L152" s="36"/>
      <c r="M152" s="102">
        <f t="shared" si="111"/>
        <v>0</v>
      </c>
      <c r="N152" s="36"/>
      <c r="O152" s="102">
        <f t="shared" si="112"/>
        <v>0</v>
      </c>
      <c r="P152" s="102">
        <f t="shared" si="113"/>
        <v>0</v>
      </c>
      <c r="Q152" s="102">
        <f t="shared" si="114"/>
        <v>0</v>
      </c>
    </row>
    <row r="153" spans="5:17" collapsed="1"/>
  </sheetData>
  <mergeCells count="7">
    <mergeCell ref="B2:D2"/>
    <mergeCell ref="F6:N6"/>
    <mergeCell ref="F7:G7"/>
    <mergeCell ref="H7:I7"/>
    <mergeCell ref="J7:K7"/>
    <mergeCell ref="L7:M7"/>
    <mergeCell ref="N7:O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B1:T152"/>
  <sheetViews>
    <sheetView workbookViewId="0">
      <pane xSplit="5" ySplit="8" topLeftCell="F140" activePane="bottomRight" state="frozen"/>
      <selection pane="topRight" activeCell="F1" sqref="F1"/>
      <selection pane="bottomLeft" activeCell="A9" sqref="A9"/>
      <selection pane="bottomRight" activeCell="F145" sqref="F145"/>
    </sheetView>
  </sheetViews>
  <sheetFormatPr defaultRowHeight="14.5" outlineLevelRow="1"/>
  <cols>
    <col min="1" max="1" width="5" customWidth="1"/>
    <col min="4" max="4" width="12.54296875" bestFit="1" customWidth="1"/>
    <col min="5" max="5" width="22.54296875" bestFit="1" customWidth="1"/>
    <col min="7" max="7" width="5.7265625" bestFit="1" customWidth="1"/>
    <col min="9" max="9" width="5.7265625" bestFit="1" customWidth="1"/>
    <col min="11" max="11" width="5.7265625" bestFit="1" customWidth="1"/>
    <col min="12" max="12" width="11.453125" bestFit="1" customWidth="1"/>
    <col min="13" max="13" width="5.7265625" bestFit="1" customWidth="1"/>
    <col min="15" max="15" width="5.7265625" bestFit="1" customWidth="1"/>
    <col min="16" max="16" width="12.81640625" bestFit="1" customWidth="1"/>
    <col min="17" max="17" width="11.453125" bestFit="1" customWidth="1"/>
    <col min="18" max="18" width="6.54296875" customWidth="1"/>
    <col min="19" max="19" width="15.81640625" bestFit="1" customWidth="1"/>
    <col min="20" max="20" width="3" bestFit="1" customWidth="1"/>
    <col min="21" max="21" width="6.54296875" bestFit="1" customWidth="1"/>
  </cols>
  <sheetData>
    <row r="1" spans="2:20" ht="15" thickBot="1"/>
    <row r="2" spans="2:20">
      <c r="B2" s="109" t="s">
        <v>17</v>
      </c>
      <c r="C2" s="110"/>
      <c r="D2" s="111"/>
    </row>
    <row r="3" spans="2:20">
      <c r="B3" s="11" t="s">
        <v>18</v>
      </c>
      <c r="C3" s="41">
        <v>25</v>
      </c>
      <c r="D3" s="12" t="s">
        <v>21</v>
      </c>
    </row>
    <row r="4" spans="2:20">
      <c r="B4" s="11" t="s">
        <v>22</v>
      </c>
      <c r="C4" s="41">
        <v>10</v>
      </c>
      <c r="D4" s="12" t="s">
        <v>16</v>
      </c>
    </row>
    <row r="5" spans="2:20">
      <c r="B5" s="11" t="s">
        <v>19</v>
      </c>
      <c r="C5" s="41">
        <v>20</v>
      </c>
      <c r="D5" s="12" t="s">
        <v>16</v>
      </c>
    </row>
    <row r="6" spans="2:20" ht="15" thickBot="1">
      <c r="B6" s="13" t="s">
        <v>20</v>
      </c>
      <c r="C6" s="45">
        <v>30</v>
      </c>
      <c r="D6" s="15" t="s">
        <v>16</v>
      </c>
      <c r="F6" s="131" t="s">
        <v>2</v>
      </c>
      <c r="G6" s="131"/>
      <c r="H6" s="131"/>
      <c r="I6" s="131"/>
      <c r="J6" s="131"/>
      <c r="K6" s="131"/>
      <c r="L6" s="131"/>
      <c r="M6" s="131"/>
      <c r="N6" s="131"/>
      <c r="O6" s="131"/>
    </row>
    <row r="7" spans="2:20">
      <c r="F7" s="132">
        <v>40562</v>
      </c>
      <c r="G7" s="133"/>
      <c r="H7" s="132">
        <v>40563</v>
      </c>
      <c r="I7" s="133"/>
      <c r="J7" s="132">
        <v>40564</v>
      </c>
      <c r="K7" s="133"/>
      <c r="L7" s="132">
        <v>40565</v>
      </c>
      <c r="M7" s="133"/>
      <c r="N7" s="132">
        <v>40566</v>
      </c>
      <c r="O7" s="133"/>
    </row>
    <row r="8" spans="2:20">
      <c r="F8" s="8" t="s">
        <v>9</v>
      </c>
      <c r="G8" s="8" t="s">
        <v>7</v>
      </c>
      <c r="H8" s="8" t="s">
        <v>9</v>
      </c>
      <c r="I8" s="8" t="s">
        <v>7</v>
      </c>
      <c r="J8" s="8" t="s">
        <v>9</v>
      </c>
      <c r="K8" s="8" t="s">
        <v>7</v>
      </c>
      <c r="L8" s="8" t="s">
        <v>9</v>
      </c>
      <c r="M8" s="8" t="s">
        <v>7</v>
      </c>
      <c r="N8" s="8" t="s">
        <v>9</v>
      </c>
      <c r="O8" s="8" t="s">
        <v>7</v>
      </c>
      <c r="P8" s="9" t="s">
        <v>10</v>
      </c>
      <c r="Q8" s="10" t="s">
        <v>3</v>
      </c>
      <c r="R8" s="17"/>
    </row>
    <row r="9" spans="2:20">
      <c r="D9" s="5" t="s">
        <v>0</v>
      </c>
      <c r="F9" s="105">
        <f>SUM(F10:F24)</f>
        <v>7</v>
      </c>
      <c r="G9" s="104">
        <f t="shared" ref="G9:Q9" si="0">SUM(G10:G24)</f>
        <v>195</v>
      </c>
      <c r="H9" s="105">
        <f t="shared" si="0"/>
        <v>0</v>
      </c>
      <c r="I9" s="104">
        <f t="shared" si="0"/>
        <v>0</v>
      </c>
      <c r="J9" s="105">
        <f t="shared" si="0"/>
        <v>0</v>
      </c>
      <c r="K9" s="104">
        <f t="shared" si="0"/>
        <v>0</v>
      </c>
      <c r="L9" s="105">
        <f t="shared" si="0"/>
        <v>0</v>
      </c>
      <c r="M9" s="104">
        <f t="shared" si="0"/>
        <v>0</v>
      </c>
      <c r="N9" s="105">
        <f t="shared" si="0"/>
        <v>0</v>
      </c>
      <c r="O9" s="104">
        <f t="shared" si="0"/>
        <v>0</v>
      </c>
      <c r="P9" s="105">
        <f t="shared" si="0"/>
        <v>7</v>
      </c>
      <c r="Q9" s="104">
        <f t="shared" si="0"/>
        <v>195</v>
      </c>
    </row>
    <row r="10" spans="2:20" hidden="1" outlineLevel="1">
      <c r="E10" s="3" t="str">
        <f>PlayerPool!B3</f>
        <v>Sachin Tendulkar</v>
      </c>
      <c r="F10" s="36"/>
      <c r="G10" s="102">
        <f>F10*$C$3+IF(F10&gt;4,$C$6,IF(F10&gt;3,$C$5,IF(F10&gt;2,$C$4,0)))</f>
        <v>0</v>
      </c>
      <c r="H10" s="36"/>
      <c r="I10" s="102">
        <f>H10*$C$3+IF(H10&gt;4,$C$6,IF(H10&gt;3,$C$5,IF(H10&gt;2,$C$4,0)))</f>
        <v>0</v>
      </c>
      <c r="J10" s="36"/>
      <c r="K10" s="102">
        <f t="shared" ref="K10:K23" si="1">J10*$C$3+IF(J10&gt;4,$C$6,IF(J10&gt;3,$C$5,IF(J10&gt;2,$C$4,0)))</f>
        <v>0</v>
      </c>
      <c r="L10" s="36"/>
      <c r="M10" s="102">
        <f t="shared" ref="M10:M23" si="2">L10*$C$3+IF(L10&gt;4,$C$6,IF(L10&gt;3,$C$5,IF(L10&gt;2,$C$4,0)))</f>
        <v>0</v>
      </c>
      <c r="N10" s="36"/>
      <c r="O10" s="102">
        <f t="shared" ref="O10:O23" si="3">N10*$C$3+IF(N10&gt;4,$C$6,IF(N10&gt;3,$C$5,IF(N10&gt;2,$C$4,0)))</f>
        <v>0</v>
      </c>
      <c r="P10" s="102">
        <f t="shared" ref="P10:P24" si="4">SUM(F10,H10,J10,L10,N10)</f>
        <v>0</v>
      </c>
      <c r="Q10" s="102">
        <f t="shared" ref="Q10:Q24" si="5">SUM(G10,I10,K10,M10,O10)</f>
        <v>0</v>
      </c>
      <c r="S10" s="2"/>
      <c r="T10" s="2"/>
    </row>
    <row r="11" spans="2:20" hidden="1" outlineLevel="1">
      <c r="E11" s="3" t="str">
        <f>PlayerPool!B4</f>
        <v>Virender Sehwag</v>
      </c>
      <c r="F11" s="36"/>
      <c r="G11" s="102">
        <f t="shared" ref="G11:I24" si="6">F11*$C$3+IF(F11&gt;4,$C$6,IF(F11&gt;3,$C$5,IF(F11&gt;2,$C$4,0)))</f>
        <v>0</v>
      </c>
      <c r="H11" s="36"/>
      <c r="I11" s="102">
        <f t="shared" si="6"/>
        <v>0</v>
      </c>
      <c r="J11" s="36"/>
      <c r="K11" s="102">
        <f t="shared" si="1"/>
        <v>0</v>
      </c>
      <c r="L11" s="36"/>
      <c r="M11" s="102">
        <f t="shared" si="2"/>
        <v>0</v>
      </c>
      <c r="N11" s="36"/>
      <c r="O11" s="102">
        <f t="shared" si="3"/>
        <v>0</v>
      </c>
      <c r="P11" s="102">
        <f t="shared" si="4"/>
        <v>0</v>
      </c>
      <c r="Q11" s="102">
        <f t="shared" si="5"/>
        <v>0</v>
      </c>
      <c r="S11" s="2"/>
      <c r="T11" s="2"/>
    </row>
    <row r="12" spans="2:20" hidden="1" outlineLevel="1">
      <c r="E12" s="3" t="str">
        <f>PlayerPool!B5</f>
        <v>Gautam Gambhir</v>
      </c>
      <c r="F12" s="36"/>
      <c r="G12" s="102">
        <f t="shared" si="6"/>
        <v>0</v>
      </c>
      <c r="H12" s="36"/>
      <c r="I12" s="102">
        <f t="shared" si="6"/>
        <v>0</v>
      </c>
      <c r="J12" s="36"/>
      <c r="K12" s="102">
        <f t="shared" si="1"/>
        <v>0</v>
      </c>
      <c r="L12" s="36"/>
      <c r="M12" s="102">
        <f t="shared" si="2"/>
        <v>0</v>
      </c>
      <c r="N12" s="36"/>
      <c r="O12" s="102">
        <f t="shared" si="3"/>
        <v>0</v>
      </c>
      <c r="P12" s="102">
        <f t="shared" si="4"/>
        <v>0</v>
      </c>
      <c r="Q12" s="102">
        <f t="shared" si="5"/>
        <v>0</v>
      </c>
      <c r="S12" s="2"/>
      <c r="T12" s="2"/>
    </row>
    <row r="13" spans="2:20" hidden="1" outlineLevel="1">
      <c r="E13" s="3" t="str">
        <f>PlayerPool!B6</f>
        <v>Viraat Kohli</v>
      </c>
      <c r="F13" s="36"/>
      <c r="G13" s="102">
        <f t="shared" si="6"/>
        <v>0</v>
      </c>
      <c r="H13" s="36"/>
      <c r="I13" s="102">
        <f t="shared" si="6"/>
        <v>0</v>
      </c>
      <c r="J13" s="36"/>
      <c r="K13" s="102">
        <f t="shared" si="1"/>
        <v>0</v>
      </c>
      <c r="L13" s="36"/>
      <c r="M13" s="102">
        <f t="shared" si="2"/>
        <v>0</v>
      </c>
      <c r="N13" s="36"/>
      <c r="O13" s="102">
        <f t="shared" si="3"/>
        <v>0</v>
      </c>
      <c r="P13" s="102">
        <f t="shared" si="4"/>
        <v>0</v>
      </c>
      <c r="Q13" s="102">
        <f t="shared" si="5"/>
        <v>0</v>
      </c>
      <c r="S13" s="2"/>
      <c r="T13" s="2"/>
    </row>
    <row r="14" spans="2:20" hidden="1" outlineLevel="1">
      <c r="E14" s="3" t="str">
        <f>PlayerPool!B7</f>
        <v>Yuvraj Singh</v>
      </c>
      <c r="F14" s="36"/>
      <c r="G14" s="102">
        <f t="shared" si="6"/>
        <v>0</v>
      </c>
      <c r="H14" s="36"/>
      <c r="I14" s="102">
        <f t="shared" si="6"/>
        <v>0</v>
      </c>
      <c r="J14" s="36"/>
      <c r="K14" s="102">
        <f t="shared" si="1"/>
        <v>0</v>
      </c>
      <c r="L14" s="36"/>
      <c r="M14" s="102">
        <f t="shared" si="2"/>
        <v>0</v>
      </c>
      <c r="N14" s="36"/>
      <c r="O14" s="102">
        <f t="shared" si="3"/>
        <v>0</v>
      </c>
      <c r="P14" s="102">
        <f t="shared" si="4"/>
        <v>0</v>
      </c>
      <c r="Q14" s="102">
        <f t="shared" si="5"/>
        <v>0</v>
      </c>
      <c r="S14" s="2"/>
      <c r="T14" s="2"/>
    </row>
    <row r="15" spans="2:20" hidden="1" outlineLevel="1">
      <c r="E15" s="3" t="str">
        <f>PlayerPool!B8</f>
        <v>Suresh Raina</v>
      </c>
      <c r="F15" s="36"/>
      <c r="G15" s="102">
        <f t="shared" si="6"/>
        <v>0</v>
      </c>
      <c r="H15" s="36"/>
      <c r="I15" s="102">
        <f t="shared" si="6"/>
        <v>0</v>
      </c>
      <c r="J15" s="36"/>
      <c r="K15" s="102">
        <f t="shared" si="1"/>
        <v>0</v>
      </c>
      <c r="L15" s="36"/>
      <c r="M15" s="102">
        <f t="shared" si="2"/>
        <v>0</v>
      </c>
      <c r="N15" s="36"/>
      <c r="O15" s="102">
        <f t="shared" si="3"/>
        <v>0</v>
      </c>
      <c r="P15" s="102">
        <f t="shared" si="4"/>
        <v>0</v>
      </c>
      <c r="Q15" s="102">
        <f t="shared" si="5"/>
        <v>0</v>
      </c>
      <c r="S15" s="2"/>
      <c r="T15" s="2"/>
    </row>
    <row r="16" spans="2:20" hidden="1" outlineLevel="1">
      <c r="E16" s="3" t="str">
        <f>PlayerPool!B9</f>
        <v>MS Dhoni</v>
      </c>
      <c r="F16" s="36"/>
      <c r="G16" s="102">
        <f t="shared" si="6"/>
        <v>0</v>
      </c>
      <c r="H16" s="36"/>
      <c r="I16" s="102">
        <f t="shared" si="6"/>
        <v>0</v>
      </c>
      <c r="J16" s="36"/>
      <c r="K16" s="102">
        <f t="shared" si="1"/>
        <v>0</v>
      </c>
      <c r="L16" s="36"/>
      <c r="M16" s="102">
        <f t="shared" si="2"/>
        <v>0</v>
      </c>
      <c r="N16" s="36"/>
      <c r="O16" s="102">
        <f t="shared" si="3"/>
        <v>0</v>
      </c>
      <c r="P16" s="102">
        <f t="shared" si="4"/>
        <v>0</v>
      </c>
      <c r="Q16" s="102">
        <f t="shared" si="5"/>
        <v>0</v>
      </c>
      <c r="S16" s="2"/>
      <c r="T16" s="2"/>
    </row>
    <row r="17" spans="4:20" hidden="1" outlineLevel="1">
      <c r="E17" s="3" t="str">
        <f>PlayerPool!B10</f>
        <v>Yousuf Pathan</v>
      </c>
      <c r="F17" s="36"/>
      <c r="G17" s="102">
        <f t="shared" si="6"/>
        <v>0</v>
      </c>
      <c r="H17" s="36"/>
      <c r="I17" s="102">
        <f t="shared" si="6"/>
        <v>0</v>
      </c>
      <c r="J17" s="36"/>
      <c r="K17" s="102">
        <f t="shared" si="1"/>
        <v>0</v>
      </c>
      <c r="L17" s="36"/>
      <c r="M17" s="102">
        <f t="shared" si="2"/>
        <v>0</v>
      </c>
      <c r="N17" s="36"/>
      <c r="O17" s="102">
        <f t="shared" si="3"/>
        <v>0</v>
      </c>
      <c r="P17" s="102">
        <f t="shared" si="4"/>
        <v>0</v>
      </c>
      <c r="Q17" s="102">
        <f t="shared" si="5"/>
        <v>0</v>
      </c>
      <c r="S17" s="2"/>
      <c r="T17" s="2"/>
    </row>
    <row r="18" spans="4:20" hidden="1" outlineLevel="1">
      <c r="E18" s="3" t="str">
        <f>PlayerPool!B11</f>
        <v>Munaf Patel</v>
      </c>
      <c r="F18" s="36">
        <v>4</v>
      </c>
      <c r="G18" s="102">
        <f t="shared" si="6"/>
        <v>120</v>
      </c>
      <c r="H18" s="36"/>
      <c r="I18" s="102">
        <f t="shared" si="6"/>
        <v>0</v>
      </c>
      <c r="J18" s="36"/>
      <c r="K18" s="102">
        <f t="shared" si="1"/>
        <v>0</v>
      </c>
      <c r="L18" s="36"/>
      <c r="M18" s="102">
        <f t="shared" si="2"/>
        <v>0</v>
      </c>
      <c r="N18" s="36"/>
      <c r="O18" s="102">
        <f t="shared" si="3"/>
        <v>0</v>
      </c>
      <c r="P18" s="102">
        <f t="shared" si="4"/>
        <v>4</v>
      </c>
      <c r="Q18" s="102">
        <f t="shared" si="5"/>
        <v>120</v>
      </c>
      <c r="S18" s="2"/>
      <c r="T18" s="2"/>
    </row>
    <row r="19" spans="4:20" hidden="1" outlineLevel="1">
      <c r="E19" s="3" t="str">
        <f>PlayerPool!B12</f>
        <v>Piyush Chawla</v>
      </c>
      <c r="F19" s="36"/>
      <c r="G19" s="102">
        <f t="shared" si="6"/>
        <v>0</v>
      </c>
      <c r="H19" s="36"/>
      <c r="I19" s="102">
        <f t="shared" si="6"/>
        <v>0</v>
      </c>
      <c r="J19" s="36"/>
      <c r="K19" s="102">
        <f t="shared" si="1"/>
        <v>0</v>
      </c>
      <c r="L19" s="36"/>
      <c r="M19" s="102">
        <f t="shared" si="2"/>
        <v>0</v>
      </c>
      <c r="N19" s="36"/>
      <c r="O19" s="102">
        <f t="shared" si="3"/>
        <v>0</v>
      </c>
      <c r="P19" s="102">
        <f t="shared" si="4"/>
        <v>0</v>
      </c>
      <c r="Q19" s="102">
        <f t="shared" si="5"/>
        <v>0</v>
      </c>
      <c r="S19" s="2"/>
      <c r="T19" s="2"/>
    </row>
    <row r="20" spans="4:20" hidden="1" outlineLevel="1">
      <c r="E20" s="3" t="str">
        <f>PlayerPool!B13</f>
        <v>Ashish Nehra</v>
      </c>
      <c r="F20" s="36"/>
      <c r="G20" s="102">
        <f t="shared" si="6"/>
        <v>0</v>
      </c>
      <c r="H20" s="36"/>
      <c r="I20" s="102">
        <f t="shared" si="6"/>
        <v>0</v>
      </c>
      <c r="J20" s="36"/>
      <c r="K20" s="102">
        <f t="shared" si="1"/>
        <v>0</v>
      </c>
      <c r="L20" s="36"/>
      <c r="M20" s="102">
        <f t="shared" si="2"/>
        <v>0</v>
      </c>
      <c r="N20" s="36"/>
      <c r="O20" s="102">
        <f t="shared" si="3"/>
        <v>0</v>
      </c>
      <c r="P20" s="102">
        <f t="shared" si="4"/>
        <v>0</v>
      </c>
      <c r="Q20" s="102">
        <f t="shared" si="5"/>
        <v>0</v>
      </c>
      <c r="S20" s="2"/>
      <c r="T20" s="2"/>
    </row>
    <row r="21" spans="4:20" hidden="1" outlineLevel="1">
      <c r="E21" s="3" t="str">
        <f>PlayerPool!B14</f>
        <v>Harbhajan Singh</v>
      </c>
      <c r="F21" s="36">
        <v>1</v>
      </c>
      <c r="G21" s="102">
        <f t="shared" si="6"/>
        <v>25</v>
      </c>
      <c r="H21" s="36"/>
      <c r="I21" s="102">
        <f t="shared" si="6"/>
        <v>0</v>
      </c>
      <c r="J21" s="36"/>
      <c r="K21" s="102">
        <f t="shared" si="1"/>
        <v>0</v>
      </c>
      <c r="L21" s="36"/>
      <c r="M21" s="102">
        <f t="shared" si="2"/>
        <v>0</v>
      </c>
      <c r="N21" s="36"/>
      <c r="O21" s="102">
        <f t="shared" si="3"/>
        <v>0</v>
      </c>
      <c r="P21" s="102">
        <f t="shared" si="4"/>
        <v>1</v>
      </c>
      <c r="Q21" s="102">
        <f t="shared" si="5"/>
        <v>25</v>
      </c>
      <c r="S21" s="2"/>
      <c r="T21" s="2"/>
    </row>
    <row r="22" spans="4:20" hidden="1" outlineLevel="1">
      <c r="E22" s="3" t="str">
        <f>PlayerPool!B15</f>
        <v>Zaheer Khan</v>
      </c>
      <c r="F22" s="36">
        <v>2</v>
      </c>
      <c r="G22" s="102">
        <f t="shared" si="6"/>
        <v>50</v>
      </c>
      <c r="H22" s="36"/>
      <c r="I22" s="102">
        <f t="shared" si="6"/>
        <v>0</v>
      </c>
      <c r="J22" s="36"/>
      <c r="K22" s="102">
        <f t="shared" si="1"/>
        <v>0</v>
      </c>
      <c r="L22" s="36"/>
      <c r="M22" s="102">
        <f t="shared" si="2"/>
        <v>0</v>
      </c>
      <c r="N22" s="36"/>
      <c r="O22" s="102">
        <f t="shared" si="3"/>
        <v>0</v>
      </c>
      <c r="P22" s="102">
        <f t="shared" si="4"/>
        <v>2</v>
      </c>
      <c r="Q22" s="102">
        <f t="shared" si="5"/>
        <v>50</v>
      </c>
      <c r="S22" s="2"/>
      <c r="T22" s="2"/>
    </row>
    <row r="23" spans="4:20" hidden="1" outlineLevel="1">
      <c r="E23" s="3" t="str">
        <f>PlayerPool!B16</f>
        <v xml:space="preserve">Sreesanth </v>
      </c>
      <c r="F23" s="36">
        <v>0</v>
      </c>
      <c r="G23" s="102">
        <f t="shared" si="6"/>
        <v>0</v>
      </c>
      <c r="H23" s="36"/>
      <c r="I23" s="102">
        <f t="shared" si="6"/>
        <v>0</v>
      </c>
      <c r="J23" s="36"/>
      <c r="K23" s="102">
        <f t="shared" si="1"/>
        <v>0</v>
      </c>
      <c r="L23" s="36"/>
      <c r="M23" s="102">
        <f t="shared" si="2"/>
        <v>0</v>
      </c>
      <c r="N23" s="36"/>
      <c r="O23" s="102">
        <f t="shared" si="3"/>
        <v>0</v>
      </c>
      <c r="P23" s="102">
        <f t="shared" si="4"/>
        <v>0</v>
      </c>
      <c r="Q23" s="102">
        <f t="shared" si="5"/>
        <v>0</v>
      </c>
      <c r="S23" s="2"/>
      <c r="T23" s="2"/>
    </row>
    <row r="24" spans="4:20" hidden="1" outlineLevel="1">
      <c r="E24" s="3" t="str">
        <f>PlayerPool!B17</f>
        <v>R Ashwin</v>
      </c>
      <c r="F24" s="36"/>
      <c r="G24" s="102">
        <f t="shared" si="6"/>
        <v>0</v>
      </c>
      <c r="H24" s="36"/>
      <c r="I24" s="102">
        <f t="shared" si="6"/>
        <v>0</v>
      </c>
      <c r="J24" s="36"/>
      <c r="K24" s="102">
        <f t="shared" ref="K24:K87" si="7">J24*$C$3+IF(J24&gt;4,$C$6,IF(J24&gt;3,$C$5,IF(J24&gt;2,$C$4,0)))</f>
        <v>0</v>
      </c>
      <c r="L24" s="36"/>
      <c r="M24" s="102">
        <f t="shared" ref="M24:M87" si="8">L24*$C$3+IF(L24&gt;4,$C$6,IF(L24&gt;3,$C$5,IF(L24&gt;2,$C$4,0)))</f>
        <v>0</v>
      </c>
      <c r="N24" s="36"/>
      <c r="O24" s="102">
        <f t="shared" ref="O24:O87" si="9">N24*$C$3+IF(N24&gt;4,$C$6,IF(N24&gt;3,$C$5,IF(N24&gt;2,$C$4,0)))</f>
        <v>0</v>
      </c>
      <c r="P24" s="102">
        <f t="shared" si="4"/>
        <v>0</v>
      </c>
      <c r="Q24" s="102">
        <f t="shared" si="5"/>
        <v>0</v>
      </c>
      <c r="S24" s="2"/>
      <c r="T24" s="2"/>
    </row>
    <row r="25" spans="4:20" collapsed="1">
      <c r="D25" s="5" t="s">
        <v>1</v>
      </c>
      <c r="F25" s="105">
        <f>SUM(F26:F40)</f>
        <v>0</v>
      </c>
      <c r="G25" s="104">
        <f t="shared" ref="G25:Q25" si="10">SUM(G26:G40)</f>
        <v>0</v>
      </c>
      <c r="H25" s="105">
        <f t="shared" si="10"/>
        <v>0</v>
      </c>
      <c r="I25" s="104">
        <f t="shared" si="10"/>
        <v>0</v>
      </c>
      <c r="J25" s="105">
        <f t="shared" si="10"/>
        <v>0</v>
      </c>
      <c r="K25" s="104">
        <f t="shared" si="10"/>
        <v>0</v>
      </c>
      <c r="L25" s="105">
        <f t="shared" si="10"/>
        <v>0</v>
      </c>
      <c r="M25" s="104">
        <f t="shared" si="10"/>
        <v>0</v>
      </c>
      <c r="N25" s="105">
        <f t="shared" si="10"/>
        <v>0</v>
      </c>
      <c r="O25" s="104">
        <f t="shared" si="10"/>
        <v>0</v>
      </c>
      <c r="P25" s="105">
        <f t="shared" si="10"/>
        <v>0</v>
      </c>
      <c r="Q25" s="104">
        <f t="shared" si="10"/>
        <v>0</v>
      </c>
      <c r="S25" s="2"/>
      <c r="T25" s="2"/>
    </row>
    <row r="26" spans="4:20" hidden="1" outlineLevel="1">
      <c r="E26" s="3" t="str">
        <f>PlayerPool!B18</f>
        <v>H Amla</v>
      </c>
      <c r="F26" s="36"/>
      <c r="G26" s="102">
        <f t="shared" ref="G26:G40" si="11">F26*$C$3+IF(F26&gt;4,$C$6,IF(F26&gt;3,$C$5,IF(F26&gt;2,$C$4,0)))</f>
        <v>0</v>
      </c>
      <c r="H26" s="36"/>
      <c r="I26" s="102">
        <f t="shared" ref="I26:I40" si="12">H26*$C$3+IF(H26&gt;4,$C$6,IF(H26&gt;3,$C$5,IF(H26&gt;2,$C$4,0)))</f>
        <v>0</v>
      </c>
      <c r="J26" s="36"/>
      <c r="K26" s="102">
        <f t="shared" si="7"/>
        <v>0</v>
      </c>
      <c r="L26" s="36"/>
      <c r="M26" s="102">
        <f t="shared" si="8"/>
        <v>0</v>
      </c>
      <c r="N26" s="36"/>
      <c r="O26" s="102">
        <f t="shared" si="9"/>
        <v>0</v>
      </c>
      <c r="P26" s="102">
        <f t="shared" ref="P26:P88" si="13">SUM(F26,H26,J26,L26,N26)</f>
        <v>0</v>
      </c>
      <c r="Q26" s="102">
        <f t="shared" ref="Q26:Q88" si="14">SUM(G26,I26,K26,M26,O26)</f>
        <v>0</v>
      </c>
      <c r="S26" s="2"/>
      <c r="T26" s="2"/>
    </row>
    <row r="27" spans="4:20" hidden="1" outlineLevel="1">
      <c r="E27" s="3" t="str">
        <f>PlayerPool!B19</f>
        <v>G Smith</v>
      </c>
      <c r="F27" s="36"/>
      <c r="G27" s="102">
        <f t="shared" si="11"/>
        <v>0</v>
      </c>
      <c r="H27" s="36"/>
      <c r="I27" s="102">
        <f t="shared" si="12"/>
        <v>0</v>
      </c>
      <c r="J27" s="36"/>
      <c r="K27" s="102">
        <f t="shared" si="7"/>
        <v>0</v>
      </c>
      <c r="L27" s="36"/>
      <c r="M27" s="102">
        <f t="shared" si="8"/>
        <v>0</v>
      </c>
      <c r="N27" s="36"/>
      <c r="O27" s="102">
        <f t="shared" si="9"/>
        <v>0</v>
      </c>
      <c r="P27" s="102">
        <f t="shared" si="13"/>
        <v>0</v>
      </c>
      <c r="Q27" s="102">
        <f t="shared" si="14"/>
        <v>0</v>
      </c>
      <c r="S27" s="2"/>
      <c r="T27" s="2"/>
    </row>
    <row r="28" spans="4:20" hidden="1" outlineLevel="1">
      <c r="E28" s="3" t="str">
        <f>PlayerPool!B20</f>
        <v>J Kallis</v>
      </c>
      <c r="F28" s="36"/>
      <c r="G28" s="102">
        <f t="shared" si="11"/>
        <v>0</v>
      </c>
      <c r="H28" s="36"/>
      <c r="I28" s="102">
        <f t="shared" si="12"/>
        <v>0</v>
      </c>
      <c r="J28" s="36"/>
      <c r="K28" s="102">
        <f t="shared" si="7"/>
        <v>0</v>
      </c>
      <c r="L28" s="36"/>
      <c r="M28" s="102">
        <f t="shared" si="8"/>
        <v>0</v>
      </c>
      <c r="N28" s="36"/>
      <c r="O28" s="102">
        <f t="shared" si="9"/>
        <v>0</v>
      </c>
      <c r="P28" s="102">
        <f t="shared" si="13"/>
        <v>0</v>
      </c>
      <c r="Q28" s="102">
        <f t="shared" si="14"/>
        <v>0</v>
      </c>
      <c r="S28" s="2"/>
      <c r="T28" s="2"/>
    </row>
    <row r="29" spans="4:20" hidden="1" outlineLevel="1">
      <c r="E29" s="3" t="str">
        <f>PlayerPool!B21</f>
        <v>AB De Villiers</v>
      </c>
      <c r="F29" s="36"/>
      <c r="G29" s="102">
        <f t="shared" si="11"/>
        <v>0</v>
      </c>
      <c r="H29" s="36"/>
      <c r="I29" s="102">
        <f t="shared" si="12"/>
        <v>0</v>
      </c>
      <c r="J29" s="36"/>
      <c r="K29" s="102">
        <f t="shared" si="7"/>
        <v>0</v>
      </c>
      <c r="L29" s="36"/>
      <c r="M29" s="102">
        <f t="shared" si="8"/>
        <v>0</v>
      </c>
      <c r="N29" s="36"/>
      <c r="O29" s="102">
        <f t="shared" si="9"/>
        <v>0</v>
      </c>
      <c r="P29" s="102">
        <f t="shared" si="13"/>
        <v>0</v>
      </c>
      <c r="Q29" s="102">
        <f t="shared" si="14"/>
        <v>0</v>
      </c>
      <c r="S29" s="2"/>
      <c r="T29" s="2"/>
    </row>
    <row r="30" spans="4:20" hidden="1" outlineLevel="1">
      <c r="E30" s="3" t="str">
        <f>PlayerPool!B22</f>
        <v>Faf du plessis</v>
      </c>
      <c r="F30" s="36"/>
      <c r="G30" s="102">
        <f t="shared" si="11"/>
        <v>0</v>
      </c>
      <c r="H30" s="36"/>
      <c r="I30" s="102">
        <f t="shared" si="12"/>
        <v>0</v>
      </c>
      <c r="J30" s="36"/>
      <c r="K30" s="102">
        <f t="shared" si="7"/>
        <v>0</v>
      </c>
      <c r="L30" s="36"/>
      <c r="M30" s="102">
        <f t="shared" si="8"/>
        <v>0</v>
      </c>
      <c r="N30" s="36"/>
      <c r="O30" s="102">
        <f t="shared" si="9"/>
        <v>0</v>
      </c>
      <c r="P30" s="102">
        <f t="shared" si="13"/>
        <v>0</v>
      </c>
      <c r="Q30" s="102">
        <f t="shared" si="14"/>
        <v>0</v>
      </c>
      <c r="S30" s="2"/>
      <c r="T30" s="2"/>
    </row>
    <row r="31" spans="4:20" hidden="1" outlineLevel="1">
      <c r="E31" s="3" t="str">
        <f>PlayerPool!B23</f>
        <v>Imran Tahir</v>
      </c>
      <c r="F31" s="36"/>
      <c r="G31" s="102">
        <f t="shared" si="11"/>
        <v>0</v>
      </c>
      <c r="H31" s="36"/>
      <c r="I31" s="102">
        <f t="shared" si="12"/>
        <v>0</v>
      </c>
      <c r="J31" s="36"/>
      <c r="K31" s="102">
        <f t="shared" si="7"/>
        <v>0</v>
      </c>
      <c r="L31" s="36"/>
      <c r="M31" s="102">
        <f t="shared" si="8"/>
        <v>0</v>
      </c>
      <c r="N31" s="36"/>
      <c r="O31" s="102">
        <f t="shared" si="9"/>
        <v>0</v>
      </c>
      <c r="P31" s="102">
        <f t="shared" si="13"/>
        <v>0</v>
      </c>
      <c r="Q31" s="102">
        <f t="shared" si="14"/>
        <v>0</v>
      </c>
      <c r="S31" s="2"/>
      <c r="T31" s="2"/>
    </row>
    <row r="32" spans="4:20" hidden="1" outlineLevel="1">
      <c r="E32" s="3" t="str">
        <f>PlayerPool!B24</f>
        <v>Colin Ingram</v>
      </c>
      <c r="F32" s="36"/>
      <c r="G32" s="102">
        <f t="shared" si="11"/>
        <v>0</v>
      </c>
      <c r="H32" s="36"/>
      <c r="I32" s="102">
        <f t="shared" si="12"/>
        <v>0</v>
      </c>
      <c r="J32" s="36"/>
      <c r="K32" s="102">
        <f t="shared" si="7"/>
        <v>0</v>
      </c>
      <c r="L32" s="36"/>
      <c r="M32" s="102">
        <f t="shared" si="8"/>
        <v>0</v>
      </c>
      <c r="N32" s="36"/>
      <c r="O32" s="102">
        <f t="shared" si="9"/>
        <v>0</v>
      </c>
      <c r="P32" s="102">
        <f t="shared" si="13"/>
        <v>0</v>
      </c>
      <c r="Q32" s="102">
        <f t="shared" si="14"/>
        <v>0</v>
      </c>
      <c r="S32" s="2"/>
      <c r="T32" s="2"/>
    </row>
    <row r="33" spans="4:20" hidden="1" outlineLevel="1">
      <c r="E33" s="3" t="str">
        <f>PlayerPool!B25</f>
        <v>JP Duminy</v>
      </c>
      <c r="F33" s="36"/>
      <c r="G33" s="102">
        <f t="shared" si="11"/>
        <v>0</v>
      </c>
      <c r="H33" s="36"/>
      <c r="I33" s="102">
        <f t="shared" si="12"/>
        <v>0</v>
      </c>
      <c r="J33" s="36"/>
      <c r="K33" s="102">
        <f t="shared" si="7"/>
        <v>0</v>
      </c>
      <c r="L33" s="36"/>
      <c r="M33" s="102">
        <f t="shared" si="8"/>
        <v>0</v>
      </c>
      <c r="N33" s="36"/>
      <c r="O33" s="102">
        <f t="shared" si="9"/>
        <v>0</v>
      </c>
      <c r="P33" s="102">
        <f t="shared" si="13"/>
        <v>0</v>
      </c>
      <c r="Q33" s="102">
        <f t="shared" si="14"/>
        <v>0</v>
      </c>
      <c r="S33" s="2"/>
      <c r="T33" s="2"/>
    </row>
    <row r="34" spans="4:20" hidden="1" outlineLevel="1">
      <c r="E34" s="3" t="str">
        <f>PlayerPool!B26</f>
        <v>R Peterson</v>
      </c>
      <c r="F34" s="36"/>
      <c r="G34" s="102">
        <f t="shared" si="11"/>
        <v>0</v>
      </c>
      <c r="H34" s="36"/>
      <c r="I34" s="102">
        <f t="shared" si="12"/>
        <v>0</v>
      </c>
      <c r="J34" s="36"/>
      <c r="K34" s="102">
        <f t="shared" si="7"/>
        <v>0</v>
      </c>
      <c r="L34" s="36"/>
      <c r="M34" s="102">
        <f t="shared" si="8"/>
        <v>0</v>
      </c>
      <c r="N34" s="36"/>
      <c r="O34" s="102">
        <f t="shared" si="9"/>
        <v>0</v>
      </c>
      <c r="P34" s="102">
        <f t="shared" si="13"/>
        <v>0</v>
      </c>
      <c r="Q34" s="102">
        <f t="shared" si="14"/>
        <v>0</v>
      </c>
      <c r="S34" s="2"/>
      <c r="T34" s="2"/>
    </row>
    <row r="35" spans="4:20" hidden="1" outlineLevel="1">
      <c r="E35" s="3" t="str">
        <f>PlayerPool!B27</f>
        <v>T Tsotsobe</v>
      </c>
      <c r="F35" s="36"/>
      <c r="G35" s="102">
        <f t="shared" si="11"/>
        <v>0</v>
      </c>
      <c r="H35" s="36"/>
      <c r="I35" s="102">
        <f t="shared" si="12"/>
        <v>0</v>
      </c>
      <c r="J35" s="36"/>
      <c r="K35" s="102">
        <f t="shared" si="7"/>
        <v>0</v>
      </c>
      <c r="L35" s="36"/>
      <c r="M35" s="102">
        <f t="shared" si="8"/>
        <v>0</v>
      </c>
      <c r="N35" s="36"/>
      <c r="O35" s="102">
        <f t="shared" si="9"/>
        <v>0</v>
      </c>
      <c r="P35" s="102">
        <f t="shared" si="13"/>
        <v>0</v>
      </c>
      <c r="Q35" s="102">
        <f t="shared" si="14"/>
        <v>0</v>
      </c>
      <c r="S35" s="2"/>
      <c r="T35" s="2"/>
    </row>
    <row r="36" spans="4:20" hidden="1" outlineLevel="1">
      <c r="E36" s="3" t="str">
        <f>PlayerPool!B28</f>
        <v>Morne Van Wyk</v>
      </c>
      <c r="F36" s="36"/>
      <c r="G36" s="102">
        <f t="shared" si="11"/>
        <v>0</v>
      </c>
      <c r="H36" s="36"/>
      <c r="I36" s="102">
        <f t="shared" si="12"/>
        <v>0</v>
      </c>
      <c r="J36" s="36"/>
      <c r="K36" s="102">
        <f t="shared" si="7"/>
        <v>0</v>
      </c>
      <c r="L36" s="36"/>
      <c r="M36" s="102">
        <f t="shared" si="8"/>
        <v>0</v>
      </c>
      <c r="N36" s="36"/>
      <c r="O36" s="102">
        <f t="shared" si="9"/>
        <v>0</v>
      </c>
      <c r="P36" s="102">
        <f t="shared" si="13"/>
        <v>0</v>
      </c>
      <c r="Q36" s="102">
        <f t="shared" si="14"/>
        <v>0</v>
      </c>
      <c r="S36" s="2"/>
      <c r="T36" s="2"/>
    </row>
    <row r="37" spans="4:20" hidden="1" outlineLevel="1">
      <c r="E37" s="3" t="str">
        <f>PlayerPool!B29</f>
        <v>J Botha</v>
      </c>
      <c r="F37" s="36"/>
      <c r="G37" s="102">
        <f t="shared" si="11"/>
        <v>0</v>
      </c>
      <c r="H37" s="36"/>
      <c r="I37" s="102">
        <f t="shared" si="12"/>
        <v>0</v>
      </c>
      <c r="J37" s="36"/>
      <c r="K37" s="102">
        <f t="shared" si="7"/>
        <v>0</v>
      </c>
      <c r="L37" s="36"/>
      <c r="M37" s="102">
        <f t="shared" si="8"/>
        <v>0</v>
      </c>
      <c r="N37" s="36"/>
      <c r="O37" s="102">
        <f t="shared" si="9"/>
        <v>0</v>
      </c>
      <c r="P37" s="102">
        <f t="shared" si="13"/>
        <v>0</v>
      </c>
      <c r="Q37" s="102">
        <f t="shared" si="14"/>
        <v>0</v>
      </c>
      <c r="S37" s="2"/>
      <c r="T37" s="2"/>
    </row>
    <row r="38" spans="4:20" hidden="1" outlineLevel="1">
      <c r="E38" s="3" t="str">
        <f>PlayerPool!B30</f>
        <v>Dale Steyn</v>
      </c>
      <c r="F38" s="36"/>
      <c r="G38" s="102">
        <f t="shared" si="11"/>
        <v>0</v>
      </c>
      <c r="H38" s="36"/>
      <c r="I38" s="102">
        <f t="shared" si="12"/>
        <v>0</v>
      </c>
      <c r="J38" s="36"/>
      <c r="K38" s="102">
        <f t="shared" si="7"/>
        <v>0</v>
      </c>
      <c r="L38" s="36"/>
      <c r="M38" s="102">
        <f t="shared" si="8"/>
        <v>0</v>
      </c>
      <c r="N38" s="36"/>
      <c r="O38" s="102">
        <f t="shared" si="9"/>
        <v>0</v>
      </c>
      <c r="P38" s="102">
        <f t="shared" si="13"/>
        <v>0</v>
      </c>
      <c r="Q38" s="102">
        <f t="shared" si="14"/>
        <v>0</v>
      </c>
      <c r="S38" s="2"/>
      <c r="T38" s="2"/>
    </row>
    <row r="39" spans="4:20" hidden="1" outlineLevel="1">
      <c r="E39" s="3" t="str">
        <f>PlayerPool!B31</f>
        <v>Morne Morkel</v>
      </c>
      <c r="F39" s="36"/>
      <c r="G39" s="102">
        <f t="shared" si="11"/>
        <v>0</v>
      </c>
      <c r="H39" s="36"/>
      <c r="I39" s="102">
        <f t="shared" si="12"/>
        <v>0</v>
      </c>
      <c r="J39" s="36"/>
      <c r="K39" s="102">
        <f t="shared" si="7"/>
        <v>0</v>
      </c>
      <c r="L39" s="36"/>
      <c r="M39" s="102">
        <f t="shared" si="8"/>
        <v>0</v>
      </c>
      <c r="N39" s="36"/>
      <c r="O39" s="102">
        <f t="shared" si="9"/>
        <v>0</v>
      </c>
      <c r="P39" s="102">
        <f t="shared" si="13"/>
        <v>0</v>
      </c>
      <c r="Q39" s="102">
        <f t="shared" si="14"/>
        <v>0</v>
      </c>
      <c r="S39" s="2"/>
      <c r="T39" s="2"/>
    </row>
    <row r="40" spans="4:20" hidden="1" outlineLevel="1">
      <c r="E40" s="3" t="str">
        <f>PlayerPool!B32</f>
        <v>T Parnell</v>
      </c>
      <c r="F40" s="36"/>
      <c r="G40" s="102">
        <f t="shared" si="11"/>
        <v>0</v>
      </c>
      <c r="H40" s="36"/>
      <c r="I40" s="102">
        <f t="shared" si="12"/>
        <v>0</v>
      </c>
      <c r="J40" s="36"/>
      <c r="K40" s="102">
        <f t="shared" si="7"/>
        <v>0</v>
      </c>
      <c r="L40" s="36"/>
      <c r="M40" s="102">
        <f t="shared" si="8"/>
        <v>0</v>
      </c>
      <c r="N40" s="36"/>
      <c r="O40" s="102">
        <f t="shared" si="9"/>
        <v>0</v>
      </c>
      <c r="P40" s="102">
        <f t="shared" si="13"/>
        <v>0</v>
      </c>
      <c r="Q40" s="102">
        <f t="shared" si="14"/>
        <v>0</v>
      </c>
      <c r="S40" s="2"/>
      <c r="T40" s="2"/>
    </row>
    <row r="41" spans="4:20" collapsed="1">
      <c r="D41" s="5" t="s">
        <v>96</v>
      </c>
      <c r="F41" s="105">
        <f>SUM(F42:F56)</f>
        <v>0</v>
      </c>
      <c r="G41" s="104">
        <f t="shared" ref="G41:Q41" si="15">SUM(G42:G56)</f>
        <v>0</v>
      </c>
      <c r="H41" s="105">
        <f t="shared" si="15"/>
        <v>0</v>
      </c>
      <c r="I41" s="104">
        <f t="shared" si="15"/>
        <v>0</v>
      </c>
      <c r="J41" s="105">
        <f t="shared" si="15"/>
        <v>0</v>
      </c>
      <c r="K41" s="104">
        <f t="shared" si="15"/>
        <v>0</v>
      </c>
      <c r="L41" s="105">
        <f t="shared" si="15"/>
        <v>0</v>
      </c>
      <c r="M41" s="104">
        <f t="shared" si="15"/>
        <v>0</v>
      </c>
      <c r="N41" s="105">
        <f t="shared" si="15"/>
        <v>0</v>
      </c>
      <c r="O41" s="104">
        <f t="shared" si="15"/>
        <v>0</v>
      </c>
      <c r="P41" s="105">
        <f t="shared" si="15"/>
        <v>0</v>
      </c>
      <c r="Q41" s="104">
        <f t="shared" si="15"/>
        <v>0</v>
      </c>
      <c r="S41" s="2"/>
      <c r="T41" s="2"/>
    </row>
    <row r="42" spans="4:20" hidden="1" outlineLevel="1">
      <c r="E42" s="3" t="str">
        <f>PlayerPool!B33</f>
        <v>Ricky Ponting</v>
      </c>
      <c r="F42" s="36"/>
      <c r="G42" s="102">
        <f t="shared" ref="G42:G56" si="16">F42*$C$3+IF(F42&gt;4,$C$6,IF(F42&gt;3,$C$5,IF(F42&gt;2,$C$4,0)))</f>
        <v>0</v>
      </c>
      <c r="H42" s="36"/>
      <c r="I42" s="102">
        <f t="shared" ref="I42:I56" si="17">H42*$C$3+IF(H42&gt;4,$C$6,IF(H42&gt;3,$C$5,IF(H42&gt;2,$C$4,0)))</f>
        <v>0</v>
      </c>
      <c r="J42" s="36"/>
      <c r="K42" s="102">
        <f t="shared" si="7"/>
        <v>0</v>
      </c>
      <c r="L42" s="36"/>
      <c r="M42" s="102">
        <f t="shared" si="8"/>
        <v>0</v>
      </c>
      <c r="N42" s="36"/>
      <c r="O42" s="102">
        <f t="shared" si="9"/>
        <v>0</v>
      </c>
      <c r="P42" s="102">
        <f t="shared" si="13"/>
        <v>0</v>
      </c>
      <c r="Q42" s="102">
        <f t="shared" si="14"/>
        <v>0</v>
      </c>
      <c r="S42" s="2"/>
      <c r="T42" s="2"/>
    </row>
    <row r="43" spans="4:20" hidden="1" outlineLevel="1">
      <c r="E43" s="3" t="str">
        <f>PlayerPool!B34</f>
        <v>Michael Clarke</v>
      </c>
      <c r="F43" s="36"/>
      <c r="G43" s="102">
        <f t="shared" si="16"/>
        <v>0</v>
      </c>
      <c r="H43" s="36"/>
      <c r="I43" s="102">
        <f t="shared" si="17"/>
        <v>0</v>
      </c>
      <c r="J43" s="36"/>
      <c r="K43" s="102">
        <f t="shared" si="7"/>
        <v>0</v>
      </c>
      <c r="L43" s="36"/>
      <c r="M43" s="102">
        <f t="shared" si="8"/>
        <v>0</v>
      </c>
      <c r="N43" s="36"/>
      <c r="O43" s="102">
        <f t="shared" si="9"/>
        <v>0</v>
      </c>
      <c r="P43" s="102">
        <f t="shared" si="13"/>
        <v>0</v>
      </c>
      <c r="Q43" s="102">
        <f t="shared" si="14"/>
        <v>0</v>
      </c>
      <c r="S43" s="2"/>
      <c r="T43" s="2"/>
    </row>
    <row r="44" spans="4:20" hidden="1" outlineLevel="1">
      <c r="E44" s="3" t="str">
        <f>PlayerPool!B35</f>
        <v>Doug Bollinger</v>
      </c>
      <c r="F44" s="36"/>
      <c r="G44" s="102">
        <f t="shared" si="16"/>
        <v>0</v>
      </c>
      <c r="H44" s="36"/>
      <c r="I44" s="102">
        <f t="shared" si="17"/>
        <v>0</v>
      </c>
      <c r="J44" s="36"/>
      <c r="K44" s="102">
        <f t="shared" si="7"/>
        <v>0</v>
      </c>
      <c r="L44" s="36"/>
      <c r="M44" s="102">
        <f t="shared" si="8"/>
        <v>0</v>
      </c>
      <c r="N44" s="36"/>
      <c r="O44" s="102">
        <f t="shared" si="9"/>
        <v>0</v>
      </c>
      <c r="P44" s="102">
        <f t="shared" si="13"/>
        <v>0</v>
      </c>
      <c r="Q44" s="102">
        <f t="shared" si="14"/>
        <v>0</v>
      </c>
      <c r="S44" s="2"/>
      <c r="T44" s="2"/>
    </row>
    <row r="45" spans="4:20" hidden="1" outlineLevel="1">
      <c r="E45" s="3" t="str">
        <f>PlayerPool!B36</f>
        <v>Callum Ferguson</v>
      </c>
      <c r="F45" s="36"/>
      <c r="G45" s="102">
        <f t="shared" si="16"/>
        <v>0</v>
      </c>
      <c r="H45" s="36"/>
      <c r="I45" s="102">
        <f t="shared" si="17"/>
        <v>0</v>
      </c>
      <c r="J45" s="36"/>
      <c r="K45" s="102">
        <f t="shared" si="7"/>
        <v>0</v>
      </c>
      <c r="L45" s="36"/>
      <c r="M45" s="102">
        <f t="shared" si="8"/>
        <v>0</v>
      </c>
      <c r="N45" s="36"/>
      <c r="O45" s="102">
        <f t="shared" si="9"/>
        <v>0</v>
      </c>
      <c r="P45" s="102">
        <f t="shared" si="13"/>
        <v>0</v>
      </c>
      <c r="Q45" s="102">
        <f t="shared" si="14"/>
        <v>0</v>
      </c>
      <c r="S45" s="2"/>
      <c r="T45" s="2"/>
    </row>
    <row r="46" spans="4:20" hidden="1" outlineLevel="1">
      <c r="E46" s="3" t="str">
        <f>PlayerPool!B37</f>
        <v>Brad Haddin</v>
      </c>
      <c r="F46" s="36"/>
      <c r="G46" s="102">
        <f t="shared" si="16"/>
        <v>0</v>
      </c>
      <c r="H46" s="36"/>
      <c r="I46" s="102">
        <f t="shared" si="17"/>
        <v>0</v>
      </c>
      <c r="J46" s="36"/>
      <c r="K46" s="102">
        <f t="shared" si="7"/>
        <v>0</v>
      </c>
      <c r="L46" s="36"/>
      <c r="M46" s="102">
        <f t="shared" si="8"/>
        <v>0</v>
      </c>
      <c r="N46" s="36"/>
      <c r="O46" s="102">
        <f t="shared" si="9"/>
        <v>0</v>
      </c>
      <c r="P46" s="102">
        <f t="shared" si="13"/>
        <v>0</v>
      </c>
      <c r="Q46" s="102">
        <f t="shared" si="14"/>
        <v>0</v>
      </c>
      <c r="S46" s="2"/>
      <c r="T46" s="2"/>
    </row>
    <row r="47" spans="4:20" hidden="1" outlineLevel="1">
      <c r="E47" s="3" t="str">
        <f>PlayerPool!B38</f>
        <v>John Hastings</v>
      </c>
      <c r="F47" s="36"/>
      <c r="G47" s="102">
        <f t="shared" si="16"/>
        <v>0</v>
      </c>
      <c r="H47" s="36"/>
      <c r="I47" s="102">
        <f t="shared" si="17"/>
        <v>0</v>
      </c>
      <c r="J47" s="36"/>
      <c r="K47" s="102">
        <f t="shared" si="7"/>
        <v>0</v>
      </c>
      <c r="L47" s="36"/>
      <c r="M47" s="102">
        <f t="shared" si="8"/>
        <v>0</v>
      </c>
      <c r="N47" s="36"/>
      <c r="O47" s="102">
        <f t="shared" si="9"/>
        <v>0</v>
      </c>
      <c r="P47" s="102">
        <f t="shared" si="13"/>
        <v>0</v>
      </c>
      <c r="Q47" s="102">
        <f t="shared" si="14"/>
        <v>0</v>
      </c>
      <c r="S47" s="2"/>
      <c r="T47" s="2"/>
    </row>
    <row r="48" spans="4:20" hidden="1" outlineLevel="1">
      <c r="E48" s="3" t="str">
        <f>PlayerPool!B39</f>
        <v>David Hussey</v>
      </c>
      <c r="F48" s="36"/>
      <c r="G48" s="102">
        <f t="shared" si="16"/>
        <v>0</v>
      </c>
      <c r="H48" s="36"/>
      <c r="I48" s="102">
        <f t="shared" si="17"/>
        <v>0</v>
      </c>
      <c r="J48" s="36"/>
      <c r="K48" s="102">
        <f t="shared" si="7"/>
        <v>0</v>
      </c>
      <c r="L48" s="36"/>
      <c r="M48" s="102">
        <f t="shared" si="8"/>
        <v>0</v>
      </c>
      <c r="N48" s="36"/>
      <c r="O48" s="102">
        <f t="shared" si="9"/>
        <v>0</v>
      </c>
      <c r="P48" s="102">
        <f t="shared" si="13"/>
        <v>0</v>
      </c>
      <c r="Q48" s="102">
        <f t="shared" si="14"/>
        <v>0</v>
      </c>
      <c r="S48" s="2"/>
      <c r="T48" s="2"/>
    </row>
    <row r="49" spans="4:20" hidden="1" outlineLevel="1">
      <c r="E49" s="3" t="str">
        <f>PlayerPool!B40</f>
        <v>Mitchell Johnson</v>
      </c>
      <c r="F49" s="36"/>
      <c r="G49" s="102">
        <f t="shared" si="16"/>
        <v>0</v>
      </c>
      <c r="H49" s="36"/>
      <c r="I49" s="102">
        <f t="shared" si="17"/>
        <v>0</v>
      </c>
      <c r="J49" s="36"/>
      <c r="K49" s="102">
        <f t="shared" si="7"/>
        <v>0</v>
      </c>
      <c r="L49" s="36"/>
      <c r="M49" s="102">
        <f t="shared" si="8"/>
        <v>0</v>
      </c>
      <c r="N49" s="36"/>
      <c r="O49" s="102">
        <f t="shared" si="9"/>
        <v>0</v>
      </c>
      <c r="P49" s="102">
        <f t="shared" si="13"/>
        <v>0</v>
      </c>
      <c r="Q49" s="102">
        <f t="shared" si="14"/>
        <v>0</v>
      </c>
      <c r="S49" s="2"/>
      <c r="T49" s="2"/>
    </row>
    <row r="50" spans="4:20" hidden="1" outlineLevel="1">
      <c r="E50" s="3" t="str">
        <f>PlayerPool!B41</f>
        <v>Jason Krejza</v>
      </c>
      <c r="F50" s="36"/>
      <c r="G50" s="102">
        <f t="shared" si="16"/>
        <v>0</v>
      </c>
      <c r="H50" s="36"/>
      <c r="I50" s="102">
        <f t="shared" si="17"/>
        <v>0</v>
      </c>
      <c r="J50" s="36"/>
      <c r="K50" s="102">
        <f t="shared" si="7"/>
        <v>0</v>
      </c>
      <c r="L50" s="36"/>
      <c r="M50" s="102">
        <f t="shared" si="8"/>
        <v>0</v>
      </c>
      <c r="N50" s="36"/>
      <c r="O50" s="102">
        <f t="shared" si="9"/>
        <v>0</v>
      </c>
      <c r="P50" s="102">
        <f t="shared" si="13"/>
        <v>0</v>
      </c>
      <c r="Q50" s="102">
        <f t="shared" si="14"/>
        <v>0</v>
      </c>
      <c r="S50" s="2"/>
      <c r="T50" s="2"/>
    </row>
    <row r="51" spans="4:20" hidden="1" outlineLevel="1">
      <c r="E51" s="3" t="str">
        <f>PlayerPool!B42</f>
        <v>Brett Lee</v>
      </c>
      <c r="F51" s="36"/>
      <c r="G51" s="102">
        <f t="shared" si="16"/>
        <v>0</v>
      </c>
      <c r="H51" s="36"/>
      <c r="I51" s="102">
        <f t="shared" si="17"/>
        <v>0</v>
      </c>
      <c r="J51" s="36"/>
      <c r="K51" s="102">
        <f t="shared" si="7"/>
        <v>0</v>
      </c>
      <c r="L51" s="36"/>
      <c r="M51" s="102">
        <f t="shared" si="8"/>
        <v>0</v>
      </c>
      <c r="N51" s="36"/>
      <c r="O51" s="102">
        <f t="shared" si="9"/>
        <v>0</v>
      </c>
      <c r="P51" s="102">
        <f t="shared" si="13"/>
        <v>0</v>
      </c>
      <c r="Q51" s="102">
        <f t="shared" si="14"/>
        <v>0</v>
      </c>
      <c r="S51" s="2"/>
      <c r="T51" s="2"/>
    </row>
    <row r="52" spans="4:20" hidden="1" outlineLevel="1">
      <c r="E52" s="3" t="str">
        <f>PlayerPool!B43</f>
        <v>Tim Paine</v>
      </c>
      <c r="F52" s="36"/>
      <c r="G52" s="102">
        <f t="shared" si="16"/>
        <v>0</v>
      </c>
      <c r="H52" s="36"/>
      <c r="I52" s="102">
        <f t="shared" si="17"/>
        <v>0</v>
      </c>
      <c r="J52" s="36"/>
      <c r="K52" s="102">
        <f t="shared" si="7"/>
        <v>0</v>
      </c>
      <c r="L52" s="36"/>
      <c r="M52" s="102">
        <f t="shared" si="8"/>
        <v>0</v>
      </c>
      <c r="N52" s="36"/>
      <c r="O52" s="102">
        <f t="shared" si="9"/>
        <v>0</v>
      </c>
      <c r="P52" s="102">
        <f t="shared" si="13"/>
        <v>0</v>
      </c>
      <c r="Q52" s="102">
        <f t="shared" si="14"/>
        <v>0</v>
      </c>
      <c r="S52" s="2"/>
      <c r="T52" s="2"/>
    </row>
    <row r="53" spans="4:20" hidden="1" outlineLevel="1">
      <c r="E53" s="3" t="str">
        <f>PlayerPool!B44</f>
        <v>Steven Smith</v>
      </c>
      <c r="F53" s="36"/>
      <c r="G53" s="102">
        <f t="shared" si="16"/>
        <v>0</v>
      </c>
      <c r="H53" s="36"/>
      <c r="I53" s="102">
        <f t="shared" si="17"/>
        <v>0</v>
      </c>
      <c r="J53" s="36"/>
      <c r="K53" s="102">
        <f t="shared" si="7"/>
        <v>0</v>
      </c>
      <c r="L53" s="36"/>
      <c r="M53" s="102">
        <f t="shared" si="8"/>
        <v>0</v>
      </c>
      <c r="N53" s="36"/>
      <c r="O53" s="102">
        <f t="shared" si="9"/>
        <v>0</v>
      </c>
      <c r="P53" s="102">
        <f t="shared" si="13"/>
        <v>0</v>
      </c>
      <c r="Q53" s="102">
        <f t="shared" si="14"/>
        <v>0</v>
      </c>
      <c r="S53" s="2"/>
      <c r="T53" s="2"/>
    </row>
    <row r="54" spans="4:20" hidden="1" outlineLevel="1">
      <c r="E54" s="3" t="str">
        <f>PlayerPool!B45</f>
        <v>Shaun Tait</v>
      </c>
      <c r="F54" s="36"/>
      <c r="G54" s="102">
        <f t="shared" si="16"/>
        <v>0</v>
      </c>
      <c r="H54" s="36"/>
      <c r="I54" s="102">
        <f t="shared" si="17"/>
        <v>0</v>
      </c>
      <c r="J54" s="36"/>
      <c r="K54" s="102">
        <f t="shared" si="7"/>
        <v>0</v>
      </c>
      <c r="L54" s="36"/>
      <c r="M54" s="102">
        <f t="shared" si="8"/>
        <v>0</v>
      </c>
      <c r="N54" s="36"/>
      <c r="O54" s="102">
        <f t="shared" si="9"/>
        <v>0</v>
      </c>
      <c r="P54" s="102">
        <f t="shared" si="13"/>
        <v>0</v>
      </c>
      <c r="Q54" s="102">
        <f t="shared" si="14"/>
        <v>0</v>
      </c>
      <c r="S54" s="2"/>
      <c r="T54" s="2"/>
    </row>
    <row r="55" spans="4:20" hidden="1" outlineLevel="1">
      <c r="E55" s="3" t="str">
        <f>PlayerPool!B46</f>
        <v>Shane Watson</v>
      </c>
      <c r="F55" s="36"/>
      <c r="G55" s="102">
        <f t="shared" si="16"/>
        <v>0</v>
      </c>
      <c r="H55" s="36"/>
      <c r="I55" s="102">
        <f t="shared" si="17"/>
        <v>0</v>
      </c>
      <c r="J55" s="36"/>
      <c r="K55" s="102">
        <f t="shared" si="7"/>
        <v>0</v>
      </c>
      <c r="L55" s="36"/>
      <c r="M55" s="102">
        <f t="shared" si="8"/>
        <v>0</v>
      </c>
      <c r="N55" s="36"/>
      <c r="O55" s="102">
        <f t="shared" si="9"/>
        <v>0</v>
      </c>
      <c r="P55" s="102">
        <f t="shared" si="13"/>
        <v>0</v>
      </c>
      <c r="Q55" s="102">
        <f t="shared" si="14"/>
        <v>0</v>
      </c>
      <c r="S55" s="2"/>
      <c r="T55" s="2"/>
    </row>
    <row r="56" spans="4:20" hidden="1" outlineLevel="1">
      <c r="E56" s="3" t="str">
        <f>PlayerPool!B47</f>
        <v>Cameron White</v>
      </c>
      <c r="F56" s="36"/>
      <c r="G56" s="102">
        <f t="shared" si="16"/>
        <v>0</v>
      </c>
      <c r="H56" s="36"/>
      <c r="I56" s="102">
        <f t="shared" si="17"/>
        <v>0</v>
      </c>
      <c r="J56" s="36"/>
      <c r="K56" s="102">
        <f t="shared" si="7"/>
        <v>0</v>
      </c>
      <c r="L56" s="36"/>
      <c r="M56" s="102">
        <f t="shared" si="8"/>
        <v>0</v>
      </c>
      <c r="N56" s="36"/>
      <c r="O56" s="102">
        <f t="shared" si="9"/>
        <v>0</v>
      </c>
      <c r="P56" s="102">
        <f t="shared" si="13"/>
        <v>0</v>
      </c>
      <c r="Q56" s="102">
        <f t="shared" si="14"/>
        <v>0</v>
      </c>
      <c r="S56" s="2"/>
      <c r="T56" s="2"/>
    </row>
    <row r="57" spans="4:20" collapsed="1">
      <c r="D57" s="5" t="s">
        <v>97</v>
      </c>
      <c r="F57" s="105">
        <f>SUM(F58:F72)</f>
        <v>0</v>
      </c>
      <c r="G57" s="104">
        <f t="shared" ref="G57:Q57" si="18">SUM(G58:G72)</f>
        <v>0</v>
      </c>
      <c r="H57" s="105">
        <f t="shared" si="18"/>
        <v>0</v>
      </c>
      <c r="I57" s="104">
        <f t="shared" si="18"/>
        <v>0</v>
      </c>
      <c r="J57" s="105">
        <f t="shared" si="18"/>
        <v>0</v>
      </c>
      <c r="K57" s="104">
        <f t="shared" si="18"/>
        <v>0</v>
      </c>
      <c r="L57" s="105">
        <f t="shared" si="18"/>
        <v>0</v>
      </c>
      <c r="M57" s="104">
        <f t="shared" si="18"/>
        <v>0</v>
      </c>
      <c r="N57" s="105">
        <f t="shared" si="18"/>
        <v>0</v>
      </c>
      <c r="O57" s="104">
        <f t="shared" si="18"/>
        <v>0</v>
      </c>
      <c r="P57" s="105">
        <f t="shared" si="18"/>
        <v>0</v>
      </c>
      <c r="Q57" s="104">
        <f t="shared" si="18"/>
        <v>0</v>
      </c>
      <c r="S57" s="2"/>
      <c r="T57" s="2"/>
    </row>
    <row r="58" spans="4:20" hidden="1" outlineLevel="1">
      <c r="E58" s="3" t="str">
        <f>PlayerPool!B48</f>
        <v>Andrew Strauss</v>
      </c>
      <c r="F58" s="36"/>
      <c r="G58" s="102">
        <f t="shared" ref="G58:G72" si="19">F58*$C$3+IF(F58&gt;4,$C$6,IF(F58&gt;3,$C$5,IF(F58&gt;2,$C$4,0)))</f>
        <v>0</v>
      </c>
      <c r="H58" s="36"/>
      <c r="I58" s="102">
        <f t="shared" ref="I58:I72" si="20">H58*$C$3+IF(H58&gt;4,$C$6,IF(H58&gt;3,$C$5,IF(H58&gt;2,$C$4,0)))</f>
        <v>0</v>
      </c>
      <c r="J58" s="36"/>
      <c r="K58" s="102">
        <f t="shared" si="7"/>
        <v>0</v>
      </c>
      <c r="L58" s="36"/>
      <c r="M58" s="102">
        <f t="shared" si="8"/>
        <v>0</v>
      </c>
      <c r="N58" s="36"/>
      <c r="O58" s="102">
        <f t="shared" si="9"/>
        <v>0</v>
      </c>
      <c r="P58" s="102">
        <f t="shared" si="13"/>
        <v>0</v>
      </c>
      <c r="Q58" s="102">
        <f t="shared" si="14"/>
        <v>0</v>
      </c>
      <c r="S58" s="2"/>
      <c r="T58" s="2"/>
    </row>
    <row r="59" spans="4:20" hidden="1" outlineLevel="1">
      <c r="E59" s="3" t="str">
        <f>PlayerPool!B49</f>
        <v>James Anderson</v>
      </c>
      <c r="F59" s="36"/>
      <c r="G59" s="102">
        <f t="shared" si="19"/>
        <v>0</v>
      </c>
      <c r="H59" s="36"/>
      <c r="I59" s="102">
        <f t="shared" si="20"/>
        <v>0</v>
      </c>
      <c r="J59" s="36"/>
      <c r="K59" s="102">
        <f t="shared" si="7"/>
        <v>0</v>
      </c>
      <c r="L59" s="36"/>
      <c r="M59" s="102">
        <f t="shared" si="8"/>
        <v>0</v>
      </c>
      <c r="N59" s="36"/>
      <c r="O59" s="102">
        <f t="shared" si="9"/>
        <v>0</v>
      </c>
      <c r="P59" s="102">
        <f t="shared" si="13"/>
        <v>0</v>
      </c>
      <c r="Q59" s="102">
        <f t="shared" si="14"/>
        <v>0</v>
      </c>
      <c r="S59" s="2"/>
      <c r="T59" s="2"/>
    </row>
    <row r="60" spans="4:20" hidden="1" outlineLevel="1">
      <c r="E60" s="3" t="str">
        <f>PlayerPool!B50</f>
        <v>Ian Bell</v>
      </c>
      <c r="F60" s="36"/>
      <c r="G60" s="102">
        <f t="shared" si="19"/>
        <v>0</v>
      </c>
      <c r="H60" s="36"/>
      <c r="I60" s="102">
        <f t="shared" si="20"/>
        <v>0</v>
      </c>
      <c r="J60" s="36"/>
      <c r="K60" s="102">
        <f t="shared" si="7"/>
        <v>0</v>
      </c>
      <c r="L60" s="36"/>
      <c r="M60" s="102">
        <f t="shared" si="8"/>
        <v>0</v>
      </c>
      <c r="N60" s="36"/>
      <c r="O60" s="102">
        <f t="shared" si="9"/>
        <v>0</v>
      </c>
      <c r="P60" s="102">
        <f t="shared" si="13"/>
        <v>0</v>
      </c>
      <c r="Q60" s="102">
        <f t="shared" si="14"/>
        <v>0</v>
      </c>
      <c r="S60" s="2"/>
      <c r="T60" s="2"/>
    </row>
    <row r="61" spans="4:20" hidden="1" outlineLevel="1">
      <c r="E61" s="3" t="str">
        <f>PlayerPool!B51</f>
        <v>Ravi Bopara</v>
      </c>
      <c r="F61" s="36"/>
      <c r="G61" s="102">
        <f t="shared" si="19"/>
        <v>0</v>
      </c>
      <c r="H61" s="36"/>
      <c r="I61" s="102">
        <f t="shared" si="20"/>
        <v>0</v>
      </c>
      <c r="J61" s="36"/>
      <c r="K61" s="102">
        <f t="shared" si="7"/>
        <v>0</v>
      </c>
      <c r="L61" s="36"/>
      <c r="M61" s="102">
        <f t="shared" si="8"/>
        <v>0</v>
      </c>
      <c r="N61" s="36"/>
      <c r="O61" s="102">
        <f t="shared" si="9"/>
        <v>0</v>
      </c>
      <c r="P61" s="102">
        <f t="shared" si="13"/>
        <v>0</v>
      </c>
      <c r="Q61" s="102">
        <f t="shared" si="14"/>
        <v>0</v>
      </c>
      <c r="S61" s="2"/>
      <c r="T61" s="2"/>
    </row>
    <row r="62" spans="4:20" hidden="1" outlineLevel="1">
      <c r="E62" s="3" t="str">
        <f>PlayerPool!B52</f>
        <v>Tim Bresnan</v>
      </c>
      <c r="F62" s="36"/>
      <c r="G62" s="102">
        <f t="shared" si="19"/>
        <v>0</v>
      </c>
      <c r="H62" s="36"/>
      <c r="I62" s="102">
        <f t="shared" si="20"/>
        <v>0</v>
      </c>
      <c r="J62" s="36"/>
      <c r="K62" s="102">
        <f t="shared" si="7"/>
        <v>0</v>
      </c>
      <c r="L62" s="36"/>
      <c r="M62" s="102">
        <f t="shared" si="8"/>
        <v>0</v>
      </c>
      <c r="N62" s="36"/>
      <c r="O62" s="102">
        <f t="shared" si="9"/>
        <v>0</v>
      </c>
      <c r="P62" s="102">
        <f t="shared" si="13"/>
        <v>0</v>
      </c>
      <c r="Q62" s="102">
        <f t="shared" si="14"/>
        <v>0</v>
      </c>
      <c r="S62" s="2"/>
      <c r="T62" s="2"/>
    </row>
    <row r="63" spans="4:20" hidden="1" outlineLevel="1">
      <c r="E63" s="3" t="str">
        <f>PlayerPool!B53</f>
        <v>Stuart Broad</v>
      </c>
      <c r="F63" s="36"/>
      <c r="G63" s="102">
        <f t="shared" si="19"/>
        <v>0</v>
      </c>
      <c r="H63" s="36"/>
      <c r="I63" s="102">
        <f t="shared" si="20"/>
        <v>0</v>
      </c>
      <c r="J63" s="36"/>
      <c r="K63" s="102">
        <f t="shared" si="7"/>
        <v>0</v>
      </c>
      <c r="L63" s="36"/>
      <c r="M63" s="102">
        <f t="shared" si="8"/>
        <v>0</v>
      </c>
      <c r="N63" s="36"/>
      <c r="O63" s="102">
        <f t="shared" si="9"/>
        <v>0</v>
      </c>
      <c r="P63" s="102">
        <f t="shared" si="13"/>
        <v>0</v>
      </c>
      <c r="Q63" s="102">
        <f t="shared" si="14"/>
        <v>0</v>
      </c>
      <c r="S63" s="2"/>
      <c r="T63" s="2"/>
    </row>
    <row r="64" spans="4:20" hidden="1" outlineLevel="1">
      <c r="E64" s="3" t="str">
        <f>PlayerPool!B54</f>
        <v>Paul Collingwood</v>
      </c>
      <c r="F64" s="36"/>
      <c r="G64" s="102">
        <f t="shared" si="19"/>
        <v>0</v>
      </c>
      <c r="H64" s="36"/>
      <c r="I64" s="102">
        <f t="shared" si="20"/>
        <v>0</v>
      </c>
      <c r="J64" s="36"/>
      <c r="K64" s="102">
        <f t="shared" si="7"/>
        <v>0</v>
      </c>
      <c r="L64" s="36"/>
      <c r="M64" s="102">
        <f t="shared" si="8"/>
        <v>0</v>
      </c>
      <c r="N64" s="36"/>
      <c r="O64" s="102">
        <f t="shared" si="9"/>
        <v>0</v>
      </c>
      <c r="P64" s="102">
        <f t="shared" si="13"/>
        <v>0</v>
      </c>
      <c r="Q64" s="102">
        <f t="shared" si="14"/>
        <v>0</v>
      </c>
      <c r="S64" s="2"/>
      <c r="T64" s="2"/>
    </row>
    <row r="65" spans="4:20" hidden="1" outlineLevel="1">
      <c r="E65" s="3" t="str">
        <f>PlayerPool!B55</f>
        <v>Kevin Pietersen</v>
      </c>
      <c r="F65" s="36"/>
      <c r="G65" s="102">
        <f t="shared" si="19"/>
        <v>0</v>
      </c>
      <c r="H65" s="36"/>
      <c r="I65" s="102">
        <f t="shared" si="20"/>
        <v>0</v>
      </c>
      <c r="J65" s="36"/>
      <c r="K65" s="102">
        <f t="shared" si="7"/>
        <v>0</v>
      </c>
      <c r="L65" s="36"/>
      <c r="M65" s="102">
        <f t="shared" si="8"/>
        <v>0</v>
      </c>
      <c r="N65" s="36"/>
      <c r="O65" s="102">
        <f t="shared" si="9"/>
        <v>0</v>
      </c>
      <c r="P65" s="102">
        <f t="shared" si="13"/>
        <v>0</v>
      </c>
      <c r="Q65" s="102">
        <f t="shared" si="14"/>
        <v>0</v>
      </c>
      <c r="S65" s="2"/>
      <c r="T65" s="2"/>
    </row>
    <row r="66" spans="4:20" hidden="1" outlineLevel="1">
      <c r="E66" s="3" t="str">
        <f>PlayerPool!B56</f>
        <v>Matt Prior</v>
      </c>
      <c r="F66" s="36"/>
      <c r="G66" s="102">
        <f t="shared" si="19"/>
        <v>0</v>
      </c>
      <c r="H66" s="36"/>
      <c r="I66" s="102">
        <f t="shared" si="20"/>
        <v>0</v>
      </c>
      <c r="J66" s="36"/>
      <c r="K66" s="102">
        <f t="shared" si="7"/>
        <v>0</v>
      </c>
      <c r="L66" s="36"/>
      <c r="M66" s="102">
        <f t="shared" si="8"/>
        <v>0</v>
      </c>
      <c r="N66" s="36"/>
      <c r="O66" s="102">
        <f t="shared" si="9"/>
        <v>0</v>
      </c>
      <c r="P66" s="102">
        <f t="shared" si="13"/>
        <v>0</v>
      </c>
      <c r="Q66" s="102">
        <f t="shared" si="14"/>
        <v>0</v>
      </c>
      <c r="S66" s="2"/>
      <c r="T66" s="2"/>
    </row>
    <row r="67" spans="4:20" hidden="1" outlineLevel="1">
      <c r="E67" s="3" t="str">
        <f>PlayerPool!B57</f>
        <v>Ajmal Shahzad</v>
      </c>
      <c r="F67" s="36"/>
      <c r="G67" s="102">
        <f t="shared" si="19"/>
        <v>0</v>
      </c>
      <c r="H67" s="36"/>
      <c r="I67" s="102">
        <f t="shared" si="20"/>
        <v>0</v>
      </c>
      <c r="J67" s="36"/>
      <c r="K67" s="102">
        <f t="shared" si="7"/>
        <v>0</v>
      </c>
      <c r="L67" s="36"/>
      <c r="M67" s="102">
        <f t="shared" si="8"/>
        <v>0</v>
      </c>
      <c r="N67" s="36"/>
      <c r="O67" s="102">
        <f t="shared" si="9"/>
        <v>0</v>
      </c>
      <c r="P67" s="102">
        <f t="shared" si="13"/>
        <v>0</v>
      </c>
      <c r="Q67" s="102">
        <f t="shared" si="14"/>
        <v>0</v>
      </c>
      <c r="S67" s="2"/>
      <c r="T67" s="2"/>
    </row>
    <row r="68" spans="4:20" hidden="1" outlineLevel="1">
      <c r="E68" s="3" t="str">
        <f>PlayerPool!B58</f>
        <v>Graeme Swann</v>
      </c>
      <c r="F68" s="36"/>
      <c r="G68" s="102">
        <f t="shared" si="19"/>
        <v>0</v>
      </c>
      <c r="H68" s="36"/>
      <c r="I68" s="102">
        <f t="shared" si="20"/>
        <v>0</v>
      </c>
      <c r="J68" s="36"/>
      <c r="K68" s="102">
        <f t="shared" si="7"/>
        <v>0</v>
      </c>
      <c r="L68" s="36"/>
      <c r="M68" s="102">
        <f t="shared" si="8"/>
        <v>0</v>
      </c>
      <c r="N68" s="36"/>
      <c r="O68" s="102">
        <f t="shared" si="9"/>
        <v>0</v>
      </c>
      <c r="P68" s="102">
        <f t="shared" si="13"/>
        <v>0</v>
      </c>
      <c r="Q68" s="102">
        <f t="shared" si="14"/>
        <v>0</v>
      </c>
      <c r="S68" s="2"/>
      <c r="T68" s="2"/>
    </row>
    <row r="69" spans="4:20" hidden="1" outlineLevel="1">
      <c r="E69" s="3" t="str">
        <f>PlayerPool!B59</f>
        <v>James Tredwell</v>
      </c>
      <c r="F69" s="36"/>
      <c r="G69" s="102">
        <f t="shared" si="19"/>
        <v>0</v>
      </c>
      <c r="H69" s="36"/>
      <c r="I69" s="102">
        <f t="shared" si="20"/>
        <v>0</v>
      </c>
      <c r="J69" s="36"/>
      <c r="K69" s="102">
        <f t="shared" si="7"/>
        <v>0</v>
      </c>
      <c r="L69" s="36"/>
      <c r="M69" s="102">
        <f t="shared" si="8"/>
        <v>0</v>
      </c>
      <c r="N69" s="36"/>
      <c r="O69" s="102">
        <f t="shared" si="9"/>
        <v>0</v>
      </c>
      <c r="P69" s="102">
        <f t="shared" si="13"/>
        <v>0</v>
      </c>
      <c r="Q69" s="102">
        <f t="shared" si="14"/>
        <v>0</v>
      </c>
      <c r="S69" s="2"/>
      <c r="T69" s="2"/>
    </row>
    <row r="70" spans="4:20" hidden="1" outlineLevel="1">
      <c r="E70" s="3" t="str">
        <f>PlayerPool!B60</f>
        <v>Jonathan Trott</v>
      </c>
      <c r="F70" s="36"/>
      <c r="G70" s="102">
        <f t="shared" si="19"/>
        <v>0</v>
      </c>
      <c r="H70" s="36"/>
      <c r="I70" s="102">
        <f t="shared" si="20"/>
        <v>0</v>
      </c>
      <c r="J70" s="36"/>
      <c r="K70" s="102">
        <f t="shared" si="7"/>
        <v>0</v>
      </c>
      <c r="L70" s="36"/>
      <c r="M70" s="102">
        <f t="shared" si="8"/>
        <v>0</v>
      </c>
      <c r="N70" s="36"/>
      <c r="O70" s="102">
        <f t="shared" si="9"/>
        <v>0</v>
      </c>
      <c r="P70" s="102">
        <f t="shared" si="13"/>
        <v>0</v>
      </c>
      <c r="Q70" s="102">
        <f t="shared" si="14"/>
        <v>0</v>
      </c>
      <c r="S70" s="2"/>
      <c r="T70" s="2"/>
    </row>
    <row r="71" spans="4:20" hidden="1" outlineLevel="1">
      <c r="E71" s="3" t="str">
        <f>PlayerPool!B61</f>
        <v>Luke Wright</v>
      </c>
      <c r="F71" s="36"/>
      <c r="G71" s="102">
        <f t="shared" si="19"/>
        <v>0</v>
      </c>
      <c r="H71" s="36"/>
      <c r="I71" s="102">
        <f t="shared" si="20"/>
        <v>0</v>
      </c>
      <c r="J71" s="36"/>
      <c r="K71" s="102">
        <f t="shared" si="7"/>
        <v>0</v>
      </c>
      <c r="L71" s="36"/>
      <c r="M71" s="102">
        <f t="shared" si="8"/>
        <v>0</v>
      </c>
      <c r="N71" s="36"/>
      <c r="O71" s="102">
        <f t="shared" si="9"/>
        <v>0</v>
      </c>
      <c r="P71" s="102">
        <f t="shared" si="13"/>
        <v>0</v>
      </c>
      <c r="Q71" s="102">
        <f t="shared" si="14"/>
        <v>0</v>
      </c>
      <c r="S71" s="2"/>
      <c r="T71" s="2"/>
    </row>
    <row r="72" spans="4:20" hidden="1" outlineLevel="1">
      <c r="E72" s="3" t="str">
        <f>PlayerPool!B62</f>
        <v>Michael Yardy</v>
      </c>
      <c r="F72" s="36"/>
      <c r="G72" s="102">
        <f t="shared" si="19"/>
        <v>0</v>
      </c>
      <c r="H72" s="36"/>
      <c r="I72" s="102">
        <f t="shared" si="20"/>
        <v>0</v>
      </c>
      <c r="J72" s="36"/>
      <c r="K72" s="102">
        <f t="shared" si="7"/>
        <v>0</v>
      </c>
      <c r="L72" s="36"/>
      <c r="M72" s="102">
        <f t="shared" si="8"/>
        <v>0</v>
      </c>
      <c r="N72" s="36"/>
      <c r="O72" s="102">
        <f t="shared" si="9"/>
        <v>0</v>
      </c>
      <c r="P72" s="102">
        <f t="shared" si="13"/>
        <v>0</v>
      </c>
      <c r="Q72" s="102">
        <f t="shared" si="14"/>
        <v>0</v>
      </c>
      <c r="S72" s="2"/>
      <c r="T72" s="2"/>
    </row>
    <row r="73" spans="4:20" collapsed="1">
      <c r="D73" s="5" t="s">
        <v>100</v>
      </c>
      <c r="F73" s="105">
        <f>SUM(F74:F88)</f>
        <v>0</v>
      </c>
      <c r="G73" s="104">
        <f t="shared" ref="G73:Q73" si="21">SUM(G74:G88)</f>
        <v>0</v>
      </c>
      <c r="H73" s="105">
        <f t="shared" si="21"/>
        <v>0</v>
      </c>
      <c r="I73" s="104">
        <f t="shared" si="21"/>
        <v>0</v>
      </c>
      <c r="J73" s="105">
        <f t="shared" si="21"/>
        <v>0</v>
      </c>
      <c r="K73" s="104">
        <f t="shared" si="21"/>
        <v>0</v>
      </c>
      <c r="L73" s="105">
        <f t="shared" si="21"/>
        <v>0</v>
      </c>
      <c r="M73" s="104">
        <f t="shared" si="21"/>
        <v>0</v>
      </c>
      <c r="N73" s="105">
        <f t="shared" si="21"/>
        <v>0</v>
      </c>
      <c r="O73" s="104">
        <f t="shared" si="21"/>
        <v>0</v>
      </c>
      <c r="P73" s="105">
        <f t="shared" si="21"/>
        <v>0</v>
      </c>
      <c r="Q73" s="104">
        <f t="shared" si="21"/>
        <v>0</v>
      </c>
      <c r="S73" s="2"/>
      <c r="T73" s="2"/>
    </row>
    <row r="74" spans="4:20" hidden="1" outlineLevel="1">
      <c r="E74" s="3" t="str">
        <f>PlayerPool!B63</f>
        <v>Kumar Sangakkara</v>
      </c>
      <c r="F74" s="36"/>
      <c r="G74" s="102">
        <f t="shared" ref="G74:G88" si="22">F74*$C$3+IF(F74&gt;4,$C$6,IF(F74&gt;3,$C$5,IF(F74&gt;2,$C$4,0)))</f>
        <v>0</v>
      </c>
      <c r="H74" s="36"/>
      <c r="I74" s="102">
        <f t="shared" ref="I74:I88" si="23">H74*$C$3+IF(H74&gt;4,$C$6,IF(H74&gt;3,$C$5,IF(H74&gt;2,$C$4,0)))</f>
        <v>0</v>
      </c>
      <c r="J74" s="36"/>
      <c r="K74" s="102">
        <f t="shared" si="7"/>
        <v>0</v>
      </c>
      <c r="L74" s="36"/>
      <c r="M74" s="102">
        <f t="shared" si="8"/>
        <v>0</v>
      </c>
      <c r="N74" s="36"/>
      <c r="O74" s="102">
        <f t="shared" si="9"/>
        <v>0</v>
      </c>
      <c r="P74" s="102">
        <f t="shared" si="13"/>
        <v>0</v>
      </c>
      <c r="Q74" s="102">
        <f t="shared" si="14"/>
        <v>0</v>
      </c>
      <c r="S74" s="2"/>
      <c r="T74" s="2"/>
    </row>
    <row r="75" spans="4:20" hidden="1" outlineLevel="1">
      <c r="E75" s="3" t="str">
        <f>PlayerPool!B64</f>
        <v>Mahela Jayawardene</v>
      </c>
      <c r="F75" s="36"/>
      <c r="G75" s="102">
        <f t="shared" si="22"/>
        <v>0</v>
      </c>
      <c r="H75" s="36"/>
      <c r="I75" s="102">
        <f t="shared" si="23"/>
        <v>0</v>
      </c>
      <c r="J75" s="36"/>
      <c r="K75" s="102">
        <f t="shared" si="7"/>
        <v>0</v>
      </c>
      <c r="L75" s="36"/>
      <c r="M75" s="102">
        <f t="shared" si="8"/>
        <v>0</v>
      </c>
      <c r="N75" s="36"/>
      <c r="O75" s="102">
        <f t="shared" si="9"/>
        <v>0</v>
      </c>
      <c r="P75" s="102">
        <f t="shared" si="13"/>
        <v>0</v>
      </c>
      <c r="Q75" s="102">
        <f t="shared" si="14"/>
        <v>0</v>
      </c>
      <c r="S75" s="2"/>
      <c r="T75" s="2"/>
    </row>
    <row r="76" spans="4:20" hidden="1" outlineLevel="1">
      <c r="E76" s="3" t="str">
        <f>PlayerPool!B65</f>
        <v>Tillakaratne Dilshan</v>
      </c>
      <c r="F76" s="36"/>
      <c r="G76" s="102">
        <f t="shared" si="22"/>
        <v>0</v>
      </c>
      <c r="H76" s="36"/>
      <c r="I76" s="102">
        <f t="shared" si="23"/>
        <v>0</v>
      </c>
      <c r="J76" s="36"/>
      <c r="K76" s="102">
        <f t="shared" si="7"/>
        <v>0</v>
      </c>
      <c r="L76" s="36"/>
      <c r="M76" s="102">
        <f t="shared" si="8"/>
        <v>0</v>
      </c>
      <c r="N76" s="36"/>
      <c r="O76" s="102">
        <f t="shared" si="9"/>
        <v>0</v>
      </c>
      <c r="P76" s="102">
        <f t="shared" si="13"/>
        <v>0</v>
      </c>
      <c r="Q76" s="102">
        <f t="shared" si="14"/>
        <v>0</v>
      </c>
      <c r="S76" s="2"/>
      <c r="T76" s="2"/>
    </row>
    <row r="77" spans="4:20" hidden="1" outlineLevel="1">
      <c r="E77" s="3" t="str">
        <f>PlayerPool!B66</f>
        <v>Dilhara Fernando</v>
      </c>
      <c r="F77" s="36"/>
      <c r="G77" s="102">
        <f t="shared" si="22"/>
        <v>0</v>
      </c>
      <c r="H77" s="36"/>
      <c r="I77" s="102">
        <f t="shared" si="23"/>
        <v>0</v>
      </c>
      <c r="J77" s="36"/>
      <c r="K77" s="102">
        <f t="shared" si="7"/>
        <v>0</v>
      </c>
      <c r="L77" s="36"/>
      <c r="M77" s="102">
        <f t="shared" si="8"/>
        <v>0</v>
      </c>
      <c r="N77" s="36"/>
      <c r="O77" s="102">
        <f t="shared" si="9"/>
        <v>0</v>
      </c>
      <c r="P77" s="102">
        <f t="shared" si="13"/>
        <v>0</v>
      </c>
      <c r="Q77" s="102">
        <f t="shared" si="14"/>
        <v>0</v>
      </c>
      <c r="S77" s="2"/>
      <c r="T77" s="2"/>
    </row>
    <row r="78" spans="4:20" hidden="1" outlineLevel="1">
      <c r="E78" s="3" t="str">
        <f>PlayerPool!B67</f>
        <v>Rangana Herath</v>
      </c>
      <c r="F78" s="36"/>
      <c r="G78" s="102">
        <f t="shared" si="22"/>
        <v>0</v>
      </c>
      <c r="H78" s="36"/>
      <c r="I78" s="102">
        <f t="shared" si="23"/>
        <v>0</v>
      </c>
      <c r="J78" s="36"/>
      <c r="K78" s="102">
        <f t="shared" si="7"/>
        <v>0</v>
      </c>
      <c r="L78" s="36"/>
      <c r="M78" s="102">
        <f t="shared" si="8"/>
        <v>0</v>
      </c>
      <c r="N78" s="36"/>
      <c r="O78" s="102">
        <f t="shared" si="9"/>
        <v>0</v>
      </c>
      <c r="P78" s="102">
        <f t="shared" si="13"/>
        <v>0</v>
      </c>
      <c r="Q78" s="102">
        <f t="shared" si="14"/>
        <v>0</v>
      </c>
      <c r="S78" s="2"/>
      <c r="T78" s="2"/>
    </row>
    <row r="79" spans="4:20" hidden="1" outlineLevel="1">
      <c r="E79" s="3" t="str">
        <f>PlayerPool!B68</f>
        <v>Chamara Kapugedera</v>
      </c>
      <c r="F79" s="36"/>
      <c r="G79" s="102">
        <f t="shared" si="22"/>
        <v>0</v>
      </c>
      <c r="H79" s="36"/>
      <c r="I79" s="102">
        <f t="shared" si="23"/>
        <v>0</v>
      </c>
      <c r="J79" s="36"/>
      <c r="K79" s="102">
        <f t="shared" si="7"/>
        <v>0</v>
      </c>
      <c r="L79" s="36"/>
      <c r="M79" s="102">
        <f t="shared" si="8"/>
        <v>0</v>
      </c>
      <c r="N79" s="36"/>
      <c r="O79" s="102">
        <f t="shared" si="9"/>
        <v>0</v>
      </c>
      <c r="P79" s="102">
        <f t="shared" si="13"/>
        <v>0</v>
      </c>
      <c r="Q79" s="102">
        <f t="shared" si="14"/>
        <v>0</v>
      </c>
      <c r="S79" s="2"/>
      <c r="T79" s="2"/>
    </row>
    <row r="80" spans="4:20" hidden="1" outlineLevel="1">
      <c r="E80" s="3" t="str">
        <f>PlayerPool!B69</f>
        <v>Nuwan Kulasekara</v>
      </c>
      <c r="F80" s="36"/>
      <c r="G80" s="102">
        <f t="shared" si="22"/>
        <v>0</v>
      </c>
      <c r="H80" s="36"/>
      <c r="I80" s="102">
        <f t="shared" si="23"/>
        <v>0</v>
      </c>
      <c r="J80" s="36"/>
      <c r="K80" s="102">
        <f t="shared" si="7"/>
        <v>0</v>
      </c>
      <c r="L80" s="36"/>
      <c r="M80" s="102">
        <f t="shared" si="8"/>
        <v>0</v>
      </c>
      <c r="N80" s="36"/>
      <c r="O80" s="102">
        <f t="shared" si="9"/>
        <v>0</v>
      </c>
      <c r="P80" s="102">
        <f t="shared" si="13"/>
        <v>0</v>
      </c>
      <c r="Q80" s="102">
        <f t="shared" si="14"/>
        <v>0</v>
      </c>
      <c r="S80" s="2"/>
      <c r="T80" s="2"/>
    </row>
    <row r="81" spans="4:20" hidden="1" outlineLevel="1">
      <c r="E81" s="3" t="str">
        <f>PlayerPool!B70</f>
        <v>Lasith Malinga</v>
      </c>
      <c r="F81" s="36"/>
      <c r="G81" s="102">
        <f t="shared" si="22"/>
        <v>0</v>
      </c>
      <c r="H81" s="36"/>
      <c r="I81" s="102">
        <f t="shared" si="23"/>
        <v>0</v>
      </c>
      <c r="J81" s="36"/>
      <c r="K81" s="102">
        <f t="shared" si="7"/>
        <v>0</v>
      </c>
      <c r="L81" s="36"/>
      <c r="M81" s="102">
        <f t="shared" si="8"/>
        <v>0</v>
      </c>
      <c r="N81" s="36"/>
      <c r="O81" s="102">
        <f t="shared" si="9"/>
        <v>0</v>
      </c>
      <c r="P81" s="102">
        <f t="shared" si="13"/>
        <v>0</v>
      </c>
      <c r="Q81" s="102">
        <f t="shared" si="14"/>
        <v>0</v>
      </c>
      <c r="S81" s="2"/>
      <c r="T81" s="2"/>
    </row>
    <row r="82" spans="4:20" hidden="1" outlineLevel="1">
      <c r="E82" s="3" t="str">
        <f>PlayerPool!B71</f>
        <v>Angelo Mathews</v>
      </c>
      <c r="F82" s="36"/>
      <c r="G82" s="102">
        <f t="shared" si="22"/>
        <v>0</v>
      </c>
      <c r="H82" s="36"/>
      <c r="I82" s="102">
        <f t="shared" si="23"/>
        <v>0</v>
      </c>
      <c r="J82" s="36"/>
      <c r="K82" s="102">
        <f t="shared" si="7"/>
        <v>0</v>
      </c>
      <c r="L82" s="36"/>
      <c r="M82" s="102">
        <f t="shared" si="8"/>
        <v>0</v>
      </c>
      <c r="N82" s="36"/>
      <c r="O82" s="102">
        <f t="shared" si="9"/>
        <v>0</v>
      </c>
      <c r="P82" s="102">
        <f t="shared" si="13"/>
        <v>0</v>
      </c>
      <c r="Q82" s="102">
        <f t="shared" si="14"/>
        <v>0</v>
      </c>
      <c r="S82" s="2"/>
      <c r="T82" s="2"/>
    </row>
    <row r="83" spans="4:20" hidden="1" outlineLevel="1">
      <c r="E83" s="3" t="str">
        <f>PlayerPool!B72</f>
        <v>Ajantha Mendis</v>
      </c>
      <c r="F83" s="36"/>
      <c r="G83" s="102">
        <f t="shared" si="22"/>
        <v>0</v>
      </c>
      <c r="H83" s="36"/>
      <c r="I83" s="102">
        <f t="shared" si="23"/>
        <v>0</v>
      </c>
      <c r="J83" s="36"/>
      <c r="K83" s="102">
        <f t="shared" si="7"/>
        <v>0</v>
      </c>
      <c r="L83" s="36"/>
      <c r="M83" s="102">
        <f t="shared" si="8"/>
        <v>0</v>
      </c>
      <c r="N83" s="36"/>
      <c r="O83" s="102">
        <f t="shared" si="9"/>
        <v>0</v>
      </c>
      <c r="P83" s="102">
        <f t="shared" si="13"/>
        <v>0</v>
      </c>
      <c r="Q83" s="102">
        <f t="shared" si="14"/>
        <v>0</v>
      </c>
      <c r="S83" s="2"/>
      <c r="T83" s="2"/>
    </row>
    <row r="84" spans="4:20" hidden="1" outlineLevel="1">
      <c r="E84" s="3" t="str">
        <f>PlayerPool!B73</f>
        <v>Muttiah Muralitharan</v>
      </c>
      <c r="F84" s="36"/>
      <c r="G84" s="102">
        <f t="shared" si="22"/>
        <v>0</v>
      </c>
      <c r="H84" s="36"/>
      <c r="I84" s="102">
        <f t="shared" si="23"/>
        <v>0</v>
      </c>
      <c r="J84" s="36"/>
      <c r="K84" s="102">
        <f t="shared" si="7"/>
        <v>0</v>
      </c>
      <c r="L84" s="36"/>
      <c r="M84" s="102">
        <f t="shared" si="8"/>
        <v>0</v>
      </c>
      <c r="N84" s="36"/>
      <c r="O84" s="102">
        <f t="shared" si="9"/>
        <v>0</v>
      </c>
      <c r="P84" s="102">
        <f t="shared" si="13"/>
        <v>0</v>
      </c>
      <c r="Q84" s="102">
        <f t="shared" si="14"/>
        <v>0</v>
      </c>
      <c r="S84" s="2"/>
      <c r="T84" s="2"/>
    </row>
    <row r="85" spans="4:20" hidden="1" outlineLevel="1">
      <c r="E85" s="3" t="str">
        <f>PlayerPool!B74</f>
        <v>Thisara Perera</v>
      </c>
      <c r="F85" s="36"/>
      <c r="G85" s="102">
        <f t="shared" si="22"/>
        <v>0</v>
      </c>
      <c r="H85" s="36"/>
      <c r="I85" s="102">
        <f t="shared" si="23"/>
        <v>0</v>
      </c>
      <c r="J85" s="36"/>
      <c r="K85" s="102">
        <f t="shared" si="7"/>
        <v>0</v>
      </c>
      <c r="L85" s="36"/>
      <c r="M85" s="102">
        <f t="shared" si="8"/>
        <v>0</v>
      </c>
      <c r="N85" s="36"/>
      <c r="O85" s="102">
        <f t="shared" si="9"/>
        <v>0</v>
      </c>
      <c r="P85" s="102">
        <f t="shared" si="13"/>
        <v>0</v>
      </c>
      <c r="Q85" s="102">
        <f t="shared" si="14"/>
        <v>0</v>
      </c>
      <c r="S85" s="2"/>
      <c r="T85" s="2"/>
    </row>
    <row r="86" spans="4:20" hidden="1" outlineLevel="1">
      <c r="E86" s="3" t="str">
        <f>PlayerPool!B75</f>
        <v>Thilan Samaraweera</v>
      </c>
      <c r="F86" s="36"/>
      <c r="G86" s="102">
        <f t="shared" si="22"/>
        <v>0</v>
      </c>
      <c r="H86" s="36"/>
      <c r="I86" s="102">
        <f t="shared" si="23"/>
        <v>0</v>
      </c>
      <c r="J86" s="36"/>
      <c r="K86" s="102">
        <f t="shared" si="7"/>
        <v>0</v>
      </c>
      <c r="L86" s="36"/>
      <c r="M86" s="102">
        <f t="shared" si="8"/>
        <v>0</v>
      </c>
      <c r="N86" s="36"/>
      <c r="O86" s="102">
        <f t="shared" si="9"/>
        <v>0</v>
      </c>
      <c r="P86" s="102">
        <f t="shared" si="13"/>
        <v>0</v>
      </c>
      <c r="Q86" s="102">
        <f t="shared" si="14"/>
        <v>0</v>
      </c>
      <c r="S86" s="2"/>
      <c r="T86" s="2"/>
    </row>
    <row r="87" spans="4:20" hidden="1" outlineLevel="1">
      <c r="E87" s="3" t="str">
        <f>PlayerPool!B76</f>
        <v>Chamara Silva</v>
      </c>
      <c r="F87" s="36"/>
      <c r="G87" s="102">
        <f t="shared" si="22"/>
        <v>0</v>
      </c>
      <c r="H87" s="36"/>
      <c r="I87" s="102">
        <f t="shared" si="23"/>
        <v>0</v>
      </c>
      <c r="J87" s="36"/>
      <c r="K87" s="102">
        <f t="shared" si="7"/>
        <v>0</v>
      </c>
      <c r="L87" s="36"/>
      <c r="M87" s="102">
        <f t="shared" si="8"/>
        <v>0</v>
      </c>
      <c r="N87" s="36"/>
      <c r="O87" s="102">
        <f t="shared" si="9"/>
        <v>0</v>
      </c>
      <c r="P87" s="102">
        <f t="shared" si="13"/>
        <v>0</v>
      </c>
      <c r="Q87" s="102">
        <f t="shared" si="14"/>
        <v>0</v>
      </c>
      <c r="S87" s="2"/>
      <c r="T87" s="2"/>
    </row>
    <row r="88" spans="4:20" hidden="1" outlineLevel="1">
      <c r="E88" s="3" t="str">
        <f>PlayerPool!B77</f>
        <v>Upul Tharanga</v>
      </c>
      <c r="F88" s="36"/>
      <c r="G88" s="102">
        <f t="shared" si="22"/>
        <v>0</v>
      </c>
      <c r="H88" s="36"/>
      <c r="I88" s="102">
        <f t="shared" si="23"/>
        <v>0</v>
      </c>
      <c r="J88" s="36"/>
      <c r="K88" s="102">
        <f t="shared" ref="K88:K151" si="24">J88*$C$3+IF(J88&gt;4,$C$6,IF(J88&gt;3,$C$5,IF(J88&gt;2,$C$4,0)))</f>
        <v>0</v>
      </c>
      <c r="L88" s="36"/>
      <c r="M88" s="102">
        <f t="shared" ref="M88:M151" si="25">L88*$C$3+IF(L88&gt;4,$C$6,IF(L88&gt;3,$C$5,IF(L88&gt;2,$C$4,0)))</f>
        <v>0</v>
      </c>
      <c r="N88" s="36"/>
      <c r="O88" s="102">
        <f t="shared" ref="O88:O151" si="26">N88*$C$3+IF(N88&gt;4,$C$6,IF(N88&gt;3,$C$5,IF(N88&gt;2,$C$4,0)))</f>
        <v>0</v>
      </c>
      <c r="P88" s="102">
        <f t="shared" si="13"/>
        <v>0</v>
      </c>
      <c r="Q88" s="102">
        <f t="shared" si="14"/>
        <v>0</v>
      </c>
      <c r="S88" s="2"/>
      <c r="T88" s="2"/>
    </row>
    <row r="89" spans="4:20" collapsed="1">
      <c r="D89" s="5" t="s">
        <v>98</v>
      </c>
      <c r="F89" s="105">
        <f>SUM(F90:F104)</f>
        <v>0</v>
      </c>
      <c r="G89" s="104">
        <f t="shared" ref="G89:Q89" si="27">SUM(G90:G104)</f>
        <v>0</v>
      </c>
      <c r="H89" s="105">
        <f t="shared" si="27"/>
        <v>0</v>
      </c>
      <c r="I89" s="104">
        <f t="shared" si="27"/>
        <v>0</v>
      </c>
      <c r="J89" s="105">
        <f t="shared" si="27"/>
        <v>0</v>
      </c>
      <c r="K89" s="104">
        <f t="shared" si="27"/>
        <v>0</v>
      </c>
      <c r="L89" s="105">
        <f t="shared" si="27"/>
        <v>0</v>
      </c>
      <c r="M89" s="104">
        <f t="shared" si="27"/>
        <v>0</v>
      </c>
      <c r="N89" s="105">
        <f t="shared" si="27"/>
        <v>0</v>
      </c>
      <c r="O89" s="104">
        <f t="shared" si="27"/>
        <v>0</v>
      </c>
      <c r="P89" s="105">
        <f t="shared" si="27"/>
        <v>0</v>
      </c>
      <c r="Q89" s="104">
        <f t="shared" si="27"/>
        <v>0</v>
      </c>
      <c r="S89" s="2"/>
      <c r="T89" s="2"/>
    </row>
    <row r="90" spans="4:20" hidden="1" outlineLevel="1">
      <c r="E90" s="3" t="str">
        <f>PlayerPool!B78</f>
        <v>Shahid Afridi</v>
      </c>
      <c r="F90" s="36"/>
      <c r="G90" s="102">
        <f t="shared" ref="G90:G104" si="28">F90*$C$3+IF(F90&gt;4,$C$6,IF(F90&gt;3,$C$5,IF(F90&gt;2,$C$4,0)))</f>
        <v>0</v>
      </c>
      <c r="H90" s="36"/>
      <c r="I90" s="102">
        <f t="shared" ref="I90:I104" si="29">H90*$C$3+IF(H90&gt;4,$C$6,IF(H90&gt;3,$C$5,IF(H90&gt;2,$C$4,0)))</f>
        <v>0</v>
      </c>
      <c r="J90" s="36"/>
      <c r="K90" s="102">
        <f t="shared" si="24"/>
        <v>0</v>
      </c>
      <c r="L90" s="36"/>
      <c r="M90" s="102">
        <f t="shared" si="25"/>
        <v>0</v>
      </c>
      <c r="N90" s="36"/>
      <c r="O90" s="102">
        <f t="shared" si="26"/>
        <v>0</v>
      </c>
      <c r="P90" s="102">
        <f t="shared" ref="P90:P152" si="30">SUM(F90,H90,J90,L90,N90)</f>
        <v>0</v>
      </c>
      <c r="Q90" s="102">
        <f t="shared" ref="Q90:Q152" si="31">SUM(G90,I90,K90,M90,O90)</f>
        <v>0</v>
      </c>
      <c r="S90" s="2"/>
      <c r="T90" s="2"/>
    </row>
    <row r="91" spans="4:20" hidden="1" outlineLevel="1">
      <c r="E91" s="3" t="str">
        <f>PlayerPool!B79</f>
        <v>Misbah-ul-Haq</v>
      </c>
      <c r="F91" s="36"/>
      <c r="G91" s="102">
        <f t="shared" si="28"/>
        <v>0</v>
      </c>
      <c r="H91" s="36"/>
      <c r="I91" s="102">
        <f t="shared" si="29"/>
        <v>0</v>
      </c>
      <c r="J91" s="36"/>
      <c r="K91" s="102">
        <f t="shared" si="24"/>
        <v>0</v>
      </c>
      <c r="L91" s="36"/>
      <c r="M91" s="102">
        <f t="shared" si="25"/>
        <v>0</v>
      </c>
      <c r="N91" s="36"/>
      <c r="O91" s="102">
        <f t="shared" si="26"/>
        <v>0</v>
      </c>
      <c r="P91" s="102">
        <f t="shared" si="30"/>
        <v>0</v>
      </c>
      <c r="Q91" s="102">
        <f t="shared" si="31"/>
        <v>0</v>
      </c>
      <c r="S91" s="2"/>
      <c r="T91" s="2"/>
    </row>
    <row r="92" spans="4:20" hidden="1" outlineLevel="1">
      <c r="E92" s="3" t="str">
        <f>PlayerPool!B80</f>
        <v>Abdul Razzaq</v>
      </c>
      <c r="F92" s="36"/>
      <c r="G92" s="102">
        <f t="shared" si="28"/>
        <v>0</v>
      </c>
      <c r="H92" s="36"/>
      <c r="I92" s="102">
        <f t="shared" si="29"/>
        <v>0</v>
      </c>
      <c r="J92" s="36"/>
      <c r="K92" s="102">
        <f t="shared" si="24"/>
        <v>0</v>
      </c>
      <c r="L92" s="36"/>
      <c r="M92" s="102">
        <f t="shared" si="25"/>
        <v>0</v>
      </c>
      <c r="N92" s="36"/>
      <c r="O92" s="102">
        <f t="shared" si="26"/>
        <v>0</v>
      </c>
      <c r="P92" s="102">
        <f t="shared" si="30"/>
        <v>0</v>
      </c>
      <c r="Q92" s="102">
        <f t="shared" si="31"/>
        <v>0</v>
      </c>
      <c r="S92" s="2"/>
      <c r="T92" s="2"/>
    </row>
    <row r="93" spans="4:20" hidden="1" outlineLevel="1">
      <c r="E93" s="3" t="str">
        <f>PlayerPool!B81</f>
        <v>Abdur Rehman</v>
      </c>
      <c r="F93" s="36"/>
      <c r="G93" s="102">
        <f t="shared" si="28"/>
        <v>0</v>
      </c>
      <c r="H93" s="36"/>
      <c r="I93" s="102">
        <f t="shared" si="29"/>
        <v>0</v>
      </c>
      <c r="J93" s="36"/>
      <c r="K93" s="102">
        <f t="shared" si="24"/>
        <v>0</v>
      </c>
      <c r="L93" s="36"/>
      <c r="M93" s="102">
        <f t="shared" si="25"/>
        <v>0</v>
      </c>
      <c r="N93" s="36"/>
      <c r="O93" s="102">
        <f t="shared" si="26"/>
        <v>0</v>
      </c>
      <c r="P93" s="102">
        <f t="shared" si="30"/>
        <v>0</v>
      </c>
      <c r="Q93" s="102">
        <f t="shared" si="31"/>
        <v>0</v>
      </c>
      <c r="S93" s="2"/>
      <c r="T93" s="2"/>
    </row>
    <row r="94" spans="4:20" hidden="1" outlineLevel="1">
      <c r="E94" s="3" t="str">
        <f>PlayerPool!B82</f>
        <v>Ahmed Shehzad</v>
      </c>
      <c r="F94" s="36"/>
      <c r="G94" s="102">
        <f t="shared" si="28"/>
        <v>0</v>
      </c>
      <c r="H94" s="36"/>
      <c r="I94" s="102">
        <f t="shared" si="29"/>
        <v>0</v>
      </c>
      <c r="J94" s="36"/>
      <c r="K94" s="102">
        <f t="shared" si="24"/>
        <v>0</v>
      </c>
      <c r="L94" s="36"/>
      <c r="M94" s="102">
        <f t="shared" si="25"/>
        <v>0</v>
      </c>
      <c r="N94" s="36"/>
      <c r="O94" s="102">
        <f t="shared" si="26"/>
        <v>0</v>
      </c>
      <c r="P94" s="102">
        <f t="shared" si="30"/>
        <v>0</v>
      </c>
      <c r="Q94" s="102">
        <f t="shared" si="31"/>
        <v>0</v>
      </c>
      <c r="S94" s="2"/>
      <c r="T94" s="2"/>
    </row>
    <row r="95" spans="4:20" hidden="1" outlineLevel="1">
      <c r="E95" s="3" t="str">
        <f>PlayerPool!B83</f>
        <v>Asad Shafiq</v>
      </c>
      <c r="F95" s="36"/>
      <c r="G95" s="102">
        <f t="shared" si="28"/>
        <v>0</v>
      </c>
      <c r="H95" s="36"/>
      <c r="I95" s="102">
        <f t="shared" si="29"/>
        <v>0</v>
      </c>
      <c r="J95" s="36"/>
      <c r="K95" s="102">
        <f t="shared" si="24"/>
        <v>0</v>
      </c>
      <c r="L95" s="36"/>
      <c r="M95" s="102">
        <f t="shared" si="25"/>
        <v>0</v>
      </c>
      <c r="N95" s="36"/>
      <c r="O95" s="102">
        <f t="shared" si="26"/>
        <v>0</v>
      </c>
      <c r="P95" s="102">
        <f t="shared" si="30"/>
        <v>0</v>
      </c>
      <c r="Q95" s="102">
        <f t="shared" si="31"/>
        <v>0</v>
      </c>
      <c r="S95" s="2"/>
      <c r="T95" s="2"/>
    </row>
    <row r="96" spans="4:20" hidden="1" outlineLevel="1">
      <c r="E96" s="3" t="str">
        <f>PlayerPool!B84</f>
        <v>Junaid Khan</v>
      </c>
      <c r="F96" s="36"/>
      <c r="G96" s="102">
        <f t="shared" si="28"/>
        <v>0</v>
      </c>
      <c r="H96" s="36"/>
      <c r="I96" s="102">
        <f t="shared" si="29"/>
        <v>0</v>
      </c>
      <c r="J96" s="36"/>
      <c r="K96" s="102">
        <f t="shared" si="24"/>
        <v>0</v>
      </c>
      <c r="L96" s="36"/>
      <c r="M96" s="102">
        <f t="shared" si="25"/>
        <v>0</v>
      </c>
      <c r="N96" s="36"/>
      <c r="O96" s="102">
        <f t="shared" si="26"/>
        <v>0</v>
      </c>
      <c r="P96" s="102">
        <f t="shared" si="30"/>
        <v>0</v>
      </c>
      <c r="Q96" s="102">
        <f t="shared" si="31"/>
        <v>0</v>
      </c>
      <c r="S96" s="2"/>
      <c r="T96" s="2"/>
    </row>
    <row r="97" spans="4:20" hidden="1" outlineLevel="1">
      <c r="E97" s="3" t="str">
        <f>PlayerPool!B85</f>
        <v>Kamran Akmal</v>
      </c>
      <c r="F97" s="36"/>
      <c r="G97" s="102">
        <f t="shared" si="28"/>
        <v>0</v>
      </c>
      <c r="H97" s="36"/>
      <c r="I97" s="102">
        <f t="shared" si="29"/>
        <v>0</v>
      </c>
      <c r="J97" s="36"/>
      <c r="K97" s="102">
        <f t="shared" si="24"/>
        <v>0</v>
      </c>
      <c r="L97" s="36"/>
      <c r="M97" s="102">
        <f t="shared" si="25"/>
        <v>0</v>
      </c>
      <c r="N97" s="36"/>
      <c r="O97" s="102">
        <f t="shared" si="26"/>
        <v>0</v>
      </c>
      <c r="P97" s="102">
        <f t="shared" si="30"/>
        <v>0</v>
      </c>
      <c r="Q97" s="102">
        <f t="shared" si="31"/>
        <v>0</v>
      </c>
      <c r="S97" s="2"/>
      <c r="T97" s="2"/>
    </row>
    <row r="98" spans="4:20" hidden="1" outlineLevel="1">
      <c r="E98" s="3" t="str">
        <f>PlayerPool!B86</f>
        <v>Mohammad Hafeez</v>
      </c>
      <c r="F98" s="36"/>
      <c r="G98" s="102">
        <f t="shared" si="28"/>
        <v>0</v>
      </c>
      <c r="H98" s="36"/>
      <c r="I98" s="102">
        <f t="shared" si="29"/>
        <v>0</v>
      </c>
      <c r="J98" s="36"/>
      <c r="K98" s="102">
        <f t="shared" si="24"/>
        <v>0</v>
      </c>
      <c r="L98" s="36"/>
      <c r="M98" s="102">
        <f t="shared" si="25"/>
        <v>0</v>
      </c>
      <c r="N98" s="36"/>
      <c r="O98" s="102">
        <f t="shared" si="26"/>
        <v>0</v>
      </c>
      <c r="P98" s="102">
        <f t="shared" si="30"/>
        <v>0</v>
      </c>
      <c r="Q98" s="102">
        <f t="shared" si="31"/>
        <v>0</v>
      </c>
      <c r="S98" s="2"/>
      <c r="T98" s="2"/>
    </row>
    <row r="99" spans="4:20" hidden="1" outlineLevel="1">
      <c r="E99" s="3" t="str">
        <f>PlayerPool!B87</f>
        <v>Saeed Ajmal</v>
      </c>
      <c r="F99" s="36"/>
      <c r="G99" s="102">
        <f t="shared" si="28"/>
        <v>0</v>
      </c>
      <c r="H99" s="36"/>
      <c r="I99" s="102">
        <f t="shared" si="29"/>
        <v>0</v>
      </c>
      <c r="J99" s="36"/>
      <c r="K99" s="102">
        <f t="shared" si="24"/>
        <v>0</v>
      </c>
      <c r="L99" s="36"/>
      <c r="M99" s="102">
        <f t="shared" si="25"/>
        <v>0</v>
      </c>
      <c r="N99" s="36"/>
      <c r="O99" s="102">
        <f t="shared" si="26"/>
        <v>0</v>
      </c>
      <c r="P99" s="102">
        <f t="shared" si="30"/>
        <v>0</v>
      </c>
      <c r="Q99" s="102">
        <f t="shared" si="31"/>
        <v>0</v>
      </c>
      <c r="S99" s="2"/>
      <c r="T99" s="2"/>
    </row>
    <row r="100" spans="4:20" hidden="1" outlineLevel="1">
      <c r="E100" s="3" t="str">
        <f>PlayerPool!B88</f>
        <v>Shoaib Akhtar</v>
      </c>
      <c r="F100" s="36"/>
      <c r="G100" s="102">
        <f t="shared" si="28"/>
        <v>0</v>
      </c>
      <c r="H100" s="36"/>
      <c r="I100" s="102">
        <f t="shared" si="29"/>
        <v>0</v>
      </c>
      <c r="J100" s="36"/>
      <c r="K100" s="102">
        <f t="shared" si="24"/>
        <v>0</v>
      </c>
      <c r="L100" s="36"/>
      <c r="M100" s="102">
        <f t="shared" si="25"/>
        <v>0</v>
      </c>
      <c r="N100" s="36"/>
      <c r="O100" s="102">
        <f t="shared" si="26"/>
        <v>0</v>
      </c>
      <c r="P100" s="102">
        <f t="shared" si="30"/>
        <v>0</v>
      </c>
      <c r="Q100" s="102">
        <f t="shared" si="31"/>
        <v>0</v>
      </c>
      <c r="S100" s="2"/>
      <c r="T100" s="2"/>
    </row>
    <row r="101" spans="4:20" hidden="1" outlineLevel="1">
      <c r="E101" s="3" t="str">
        <f>PlayerPool!B89</f>
        <v>Umar Akmal</v>
      </c>
      <c r="F101" s="36"/>
      <c r="G101" s="102">
        <f t="shared" si="28"/>
        <v>0</v>
      </c>
      <c r="H101" s="36"/>
      <c r="I101" s="102">
        <f t="shared" si="29"/>
        <v>0</v>
      </c>
      <c r="J101" s="36"/>
      <c r="K101" s="102">
        <f t="shared" si="24"/>
        <v>0</v>
      </c>
      <c r="L101" s="36"/>
      <c r="M101" s="102">
        <f t="shared" si="25"/>
        <v>0</v>
      </c>
      <c r="N101" s="36"/>
      <c r="O101" s="102">
        <f t="shared" si="26"/>
        <v>0</v>
      </c>
      <c r="P101" s="102">
        <f t="shared" si="30"/>
        <v>0</v>
      </c>
      <c r="Q101" s="102">
        <f t="shared" si="31"/>
        <v>0</v>
      </c>
      <c r="S101" s="2"/>
      <c r="T101" s="2"/>
    </row>
    <row r="102" spans="4:20" hidden="1" outlineLevel="1">
      <c r="E102" s="3" t="str">
        <f>PlayerPool!B90</f>
        <v>Umar Gul</v>
      </c>
      <c r="F102" s="36"/>
      <c r="G102" s="102">
        <f t="shared" si="28"/>
        <v>0</v>
      </c>
      <c r="H102" s="36"/>
      <c r="I102" s="102">
        <f t="shared" si="29"/>
        <v>0</v>
      </c>
      <c r="J102" s="36"/>
      <c r="K102" s="102">
        <f t="shared" si="24"/>
        <v>0</v>
      </c>
      <c r="L102" s="36"/>
      <c r="M102" s="102">
        <f t="shared" si="25"/>
        <v>0</v>
      </c>
      <c r="N102" s="36"/>
      <c r="O102" s="102">
        <f t="shared" si="26"/>
        <v>0</v>
      </c>
      <c r="P102" s="102">
        <f t="shared" si="30"/>
        <v>0</v>
      </c>
      <c r="Q102" s="102">
        <f t="shared" si="31"/>
        <v>0</v>
      </c>
      <c r="S102" s="2"/>
      <c r="T102" s="2"/>
    </row>
    <row r="103" spans="4:20" hidden="1" outlineLevel="1">
      <c r="E103" s="3" t="str">
        <f>PlayerPool!B91</f>
        <v>Wahab Riaz</v>
      </c>
      <c r="F103" s="36"/>
      <c r="G103" s="102">
        <f t="shared" si="28"/>
        <v>0</v>
      </c>
      <c r="H103" s="36"/>
      <c r="I103" s="102">
        <f t="shared" si="29"/>
        <v>0</v>
      </c>
      <c r="J103" s="36"/>
      <c r="K103" s="102">
        <f t="shared" si="24"/>
        <v>0</v>
      </c>
      <c r="L103" s="36"/>
      <c r="M103" s="102">
        <f t="shared" si="25"/>
        <v>0</v>
      </c>
      <c r="N103" s="36"/>
      <c r="O103" s="102">
        <f t="shared" si="26"/>
        <v>0</v>
      </c>
      <c r="P103" s="102">
        <f t="shared" si="30"/>
        <v>0</v>
      </c>
      <c r="Q103" s="102">
        <f t="shared" si="31"/>
        <v>0</v>
      </c>
      <c r="S103" s="2"/>
      <c r="T103" s="2"/>
    </row>
    <row r="104" spans="4:20" hidden="1" outlineLevel="1">
      <c r="E104" s="3" t="str">
        <f>PlayerPool!B92</f>
        <v>Younis khan</v>
      </c>
      <c r="F104" s="36"/>
      <c r="G104" s="102">
        <f t="shared" si="28"/>
        <v>0</v>
      </c>
      <c r="H104" s="36"/>
      <c r="I104" s="102">
        <f t="shared" si="29"/>
        <v>0</v>
      </c>
      <c r="J104" s="36"/>
      <c r="K104" s="102">
        <f t="shared" si="24"/>
        <v>0</v>
      </c>
      <c r="L104" s="36"/>
      <c r="M104" s="102">
        <f t="shared" si="25"/>
        <v>0</v>
      </c>
      <c r="N104" s="36"/>
      <c r="O104" s="102">
        <f t="shared" si="26"/>
        <v>0</v>
      </c>
      <c r="P104" s="102">
        <f t="shared" si="30"/>
        <v>0</v>
      </c>
      <c r="Q104" s="102">
        <f t="shared" si="31"/>
        <v>0</v>
      </c>
      <c r="S104" s="2"/>
      <c r="T104" s="2"/>
    </row>
    <row r="105" spans="4:20" collapsed="1">
      <c r="D105" s="5" t="s">
        <v>99</v>
      </c>
      <c r="F105" s="105">
        <f>SUM(F106:F120)</f>
        <v>5</v>
      </c>
      <c r="G105" s="104">
        <f t="shared" ref="G105:Q105" si="32">SUM(G106:G120)</f>
        <v>125</v>
      </c>
      <c r="H105" s="105">
        <f t="shared" si="32"/>
        <v>0</v>
      </c>
      <c r="I105" s="104">
        <f t="shared" si="32"/>
        <v>0</v>
      </c>
      <c r="J105" s="105">
        <f t="shared" si="32"/>
        <v>0</v>
      </c>
      <c r="K105" s="104">
        <f t="shared" si="32"/>
        <v>0</v>
      </c>
      <c r="L105" s="105">
        <f t="shared" si="32"/>
        <v>0</v>
      </c>
      <c r="M105" s="104">
        <f t="shared" si="32"/>
        <v>0</v>
      </c>
      <c r="N105" s="105">
        <f t="shared" si="32"/>
        <v>0</v>
      </c>
      <c r="O105" s="104">
        <f t="shared" si="32"/>
        <v>0</v>
      </c>
      <c r="P105" s="105">
        <f t="shared" si="32"/>
        <v>5</v>
      </c>
      <c r="Q105" s="104">
        <f t="shared" si="32"/>
        <v>125</v>
      </c>
      <c r="S105" s="2"/>
      <c r="T105" s="2"/>
    </row>
    <row r="106" spans="4:20" hidden="1" outlineLevel="1">
      <c r="E106" s="3" t="str">
        <f>PlayerPool!B93</f>
        <v>Daniel Vettori</v>
      </c>
      <c r="F106" s="36"/>
      <c r="G106" s="102">
        <f t="shared" ref="G106:G120" si="33">F106*$C$3+IF(F106&gt;4,$C$6,IF(F106&gt;3,$C$5,IF(F106&gt;2,$C$4,0)))</f>
        <v>0</v>
      </c>
      <c r="H106" s="36"/>
      <c r="I106" s="102">
        <f t="shared" ref="I106:I120" si="34">H106*$C$3+IF(H106&gt;4,$C$6,IF(H106&gt;3,$C$5,IF(H106&gt;2,$C$4,0)))</f>
        <v>0</v>
      </c>
      <c r="J106" s="36"/>
      <c r="K106" s="102">
        <f t="shared" si="24"/>
        <v>0</v>
      </c>
      <c r="L106" s="36"/>
      <c r="M106" s="102">
        <f t="shared" si="25"/>
        <v>0</v>
      </c>
      <c r="N106" s="36"/>
      <c r="O106" s="102">
        <f t="shared" si="26"/>
        <v>0</v>
      </c>
      <c r="P106" s="102">
        <f t="shared" si="30"/>
        <v>0</v>
      </c>
      <c r="Q106" s="102">
        <f t="shared" si="31"/>
        <v>0</v>
      </c>
      <c r="S106" s="2"/>
      <c r="T106" s="2"/>
    </row>
    <row r="107" spans="4:20" hidden="1" outlineLevel="1">
      <c r="E107" s="3" t="str">
        <f>PlayerPool!B94</f>
        <v>Hamish Bennett</v>
      </c>
      <c r="F107" s="36"/>
      <c r="G107" s="102">
        <f t="shared" si="33"/>
        <v>0</v>
      </c>
      <c r="H107" s="36"/>
      <c r="I107" s="102">
        <f t="shared" si="34"/>
        <v>0</v>
      </c>
      <c r="J107" s="36"/>
      <c r="K107" s="102">
        <f t="shared" si="24"/>
        <v>0</v>
      </c>
      <c r="L107" s="36"/>
      <c r="M107" s="102">
        <f t="shared" si="25"/>
        <v>0</v>
      </c>
      <c r="N107" s="36"/>
      <c r="O107" s="102">
        <f t="shared" si="26"/>
        <v>0</v>
      </c>
      <c r="P107" s="102">
        <f t="shared" si="30"/>
        <v>0</v>
      </c>
      <c r="Q107" s="102">
        <f t="shared" si="31"/>
        <v>0</v>
      </c>
      <c r="S107" s="2"/>
      <c r="T107" s="2"/>
    </row>
    <row r="108" spans="4:20" hidden="1" outlineLevel="1">
      <c r="E108" s="3" t="str">
        <f>PlayerPool!B95</f>
        <v>James Franklin</v>
      </c>
      <c r="F108" s="36"/>
      <c r="G108" s="102">
        <f t="shared" si="33"/>
        <v>0</v>
      </c>
      <c r="H108" s="36"/>
      <c r="I108" s="102">
        <f t="shared" si="34"/>
        <v>0</v>
      </c>
      <c r="J108" s="36"/>
      <c r="K108" s="102">
        <f t="shared" si="24"/>
        <v>0</v>
      </c>
      <c r="L108" s="36"/>
      <c r="M108" s="102">
        <f t="shared" si="25"/>
        <v>0</v>
      </c>
      <c r="N108" s="36"/>
      <c r="O108" s="102">
        <f t="shared" si="26"/>
        <v>0</v>
      </c>
      <c r="P108" s="102">
        <f t="shared" si="30"/>
        <v>0</v>
      </c>
      <c r="Q108" s="102">
        <f t="shared" si="31"/>
        <v>0</v>
      </c>
      <c r="S108" s="2"/>
      <c r="T108" s="2"/>
    </row>
    <row r="109" spans="4:20" hidden="1" outlineLevel="1">
      <c r="E109" s="3" t="str">
        <f>PlayerPool!B96</f>
        <v>Martin Guptill</v>
      </c>
      <c r="F109" s="36"/>
      <c r="G109" s="102">
        <f t="shared" si="33"/>
        <v>0</v>
      </c>
      <c r="H109" s="36"/>
      <c r="I109" s="102">
        <f t="shared" si="34"/>
        <v>0</v>
      </c>
      <c r="J109" s="36"/>
      <c r="K109" s="102">
        <f t="shared" si="24"/>
        <v>0</v>
      </c>
      <c r="L109" s="36"/>
      <c r="M109" s="102">
        <f t="shared" si="25"/>
        <v>0</v>
      </c>
      <c r="N109" s="36"/>
      <c r="O109" s="102">
        <f t="shared" si="26"/>
        <v>0</v>
      </c>
      <c r="P109" s="102">
        <f t="shared" si="30"/>
        <v>0</v>
      </c>
      <c r="Q109" s="102">
        <f t="shared" si="31"/>
        <v>0</v>
      </c>
      <c r="S109" s="2"/>
      <c r="T109" s="2"/>
    </row>
    <row r="110" spans="4:20" hidden="1" outlineLevel="1">
      <c r="E110" s="3" t="str">
        <f>PlayerPool!B97</f>
        <v>Jamie How</v>
      </c>
      <c r="F110" s="36"/>
      <c r="G110" s="102">
        <f t="shared" si="33"/>
        <v>0</v>
      </c>
      <c r="H110" s="36"/>
      <c r="I110" s="102">
        <f t="shared" si="34"/>
        <v>0</v>
      </c>
      <c r="J110" s="36"/>
      <c r="K110" s="102">
        <f t="shared" si="24"/>
        <v>0</v>
      </c>
      <c r="L110" s="36"/>
      <c r="M110" s="102">
        <f t="shared" si="25"/>
        <v>0</v>
      </c>
      <c r="N110" s="36"/>
      <c r="O110" s="102">
        <f t="shared" si="26"/>
        <v>0</v>
      </c>
      <c r="P110" s="102">
        <f t="shared" si="30"/>
        <v>0</v>
      </c>
      <c r="Q110" s="102">
        <f t="shared" si="31"/>
        <v>0</v>
      </c>
      <c r="S110" s="2"/>
      <c r="T110" s="2"/>
    </row>
    <row r="111" spans="4:20" hidden="1" outlineLevel="1">
      <c r="E111" s="3" t="str">
        <f>PlayerPool!B98</f>
        <v>Brendon McCullum</v>
      </c>
      <c r="F111" s="36"/>
      <c r="G111" s="102">
        <f t="shared" si="33"/>
        <v>0</v>
      </c>
      <c r="H111" s="36"/>
      <c r="I111" s="102">
        <f t="shared" si="34"/>
        <v>0</v>
      </c>
      <c r="J111" s="36"/>
      <c r="K111" s="102">
        <f t="shared" si="24"/>
        <v>0</v>
      </c>
      <c r="L111" s="36"/>
      <c r="M111" s="102">
        <f t="shared" si="25"/>
        <v>0</v>
      </c>
      <c r="N111" s="36"/>
      <c r="O111" s="102">
        <f t="shared" si="26"/>
        <v>0</v>
      </c>
      <c r="P111" s="102">
        <f t="shared" si="30"/>
        <v>0</v>
      </c>
      <c r="Q111" s="102">
        <f t="shared" si="31"/>
        <v>0</v>
      </c>
      <c r="S111" s="2"/>
      <c r="T111" s="2"/>
    </row>
    <row r="112" spans="4:20" hidden="1" outlineLevel="1">
      <c r="E112" s="3" t="str">
        <f>PlayerPool!B99</f>
        <v>Nathan McCullum</v>
      </c>
      <c r="F112" s="36"/>
      <c r="G112" s="102">
        <f t="shared" si="33"/>
        <v>0</v>
      </c>
      <c r="H112" s="36"/>
      <c r="I112" s="102">
        <f t="shared" si="34"/>
        <v>0</v>
      </c>
      <c r="J112" s="36"/>
      <c r="K112" s="102">
        <f t="shared" si="24"/>
        <v>0</v>
      </c>
      <c r="L112" s="36"/>
      <c r="M112" s="102">
        <f t="shared" si="25"/>
        <v>0</v>
      </c>
      <c r="N112" s="36"/>
      <c r="O112" s="102">
        <f t="shared" si="26"/>
        <v>0</v>
      </c>
      <c r="P112" s="102">
        <f t="shared" si="30"/>
        <v>0</v>
      </c>
      <c r="Q112" s="102">
        <f t="shared" si="31"/>
        <v>0</v>
      </c>
      <c r="S112" s="2"/>
      <c r="T112" s="2"/>
    </row>
    <row r="113" spans="4:20" hidden="1" outlineLevel="1">
      <c r="E113" s="3" t="str">
        <f>PlayerPool!B100</f>
        <v>Kyle Mills</v>
      </c>
      <c r="F113" s="36">
        <v>1</v>
      </c>
      <c r="G113" s="102">
        <f t="shared" si="33"/>
        <v>25</v>
      </c>
      <c r="H113" s="36"/>
      <c r="I113" s="102">
        <f t="shared" si="34"/>
        <v>0</v>
      </c>
      <c r="J113" s="36"/>
      <c r="K113" s="102">
        <f t="shared" si="24"/>
        <v>0</v>
      </c>
      <c r="L113" s="36"/>
      <c r="M113" s="102">
        <f t="shared" si="25"/>
        <v>0</v>
      </c>
      <c r="N113" s="36"/>
      <c r="O113" s="102">
        <f t="shared" si="26"/>
        <v>0</v>
      </c>
      <c r="P113" s="102">
        <f t="shared" si="30"/>
        <v>1</v>
      </c>
      <c r="Q113" s="102">
        <f t="shared" si="31"/>
        <v>25</v>
      </c>
      <c r="S113" s="2"/>
      <c r="T113" s="2"/>
    </row>
    <row r="114" spans="4:20" hidden="1" outlineLevel="1">
      <c r="E114" s="3" t="str">
        <f>PlayerPool!B101</f>
        <v>Jacob Oram</v>
      </c>
      <c r="F114" s="36">
        <v>2</v>
      </c>
      <c r="G114" s="102">
        <f t="shared" si="33"/>
        <v>50</v>
      </c>
      <c r="H114" s="36"/>
      <c r="I114" s="102">
        <f t="shared" si="34"/>
        <v>0</v>
      </c>
      <c r="J114" s="36"/>
      <c r="K114" s="102">
        <f t="shared" si="24"/>
        <v>0</v>
      </c>
      <c r="L114" s="36"/>
      <c r="M114" s="102">
        <f t="shared" si="25"/>
        <v>0</v>
      </c>
      <c r="N114" s="36"/>
      <c r="O114" s="102">
        <f t="shared" si="26"/>
        <v>0</v>
      </c>
      <c r="P114" s="102">
        <f t="shared" si="30"/>
        <v>2</v>
      </c>
      <c r="Q114" s="102">
        <f t="shared" si="31"/>
        <v>50</v>
      </c>
      <c r="S114" s="2"/>
      <c r="T114" s="2"/>
    </row>
    <row r="115" spans="4:20" hidden="1" outlineLevel="1">
      <c r="E115" s="3" t="str">
        <f>PlayerPool!B102</f>
        <v>Jesse Ryder</v>
      </c>
      <c r="F115" s="36"/>
      <c r="G115" s="102">
        <f t="shared" si="33"/>
        <v>0</v>
      </c>
      <c r="H115" s="36"/>
      <c r="I115" s="102">
        <f t="shared" si="34"/>
        <v>0</v>
      </c>
      <c r="J115" s="36"/>
      <c r="K115" s="102">
        <f t="shared" si="24"/>
        <v>0</v>
      </c>
      <c r="L115" s="36"/>
      <c r="M115" s="102">
        <f t="shared" si="25"/>
        <v>0</v>
      </c>
      <c r="N115" s="36"/>
      <c r="O115" s="102">
        <f t="shared" si="26"/>
        <v>0</v>
      </c>
      <c r="P115" s="102">
        <f t="shared" si="30"/>
        <v>0</v>
      </c>
      <c r="Q115" s="102">
        <f t="shared" si="31"/>
        <v>0</v>
      </c>
      <c r="S115" s="2"/>
      <c r="T115" s="2"/>
    </row>
    <row r="116" spans="4:20" hidden="1" outlineLevel="1">
      <c r="E116" s="3" t="str">
        <f>PlayerPool!B103</f>
        <v>Tim Southee</v>
      </c>
      <c r="F116" s="36">
        <v>2</v>
      </c>
      <c r="G116" s="102">
        <f t="shared" si="33"/>
        <v>50</v>
      </c>
      <c r="H116" s="36"/>
      <c r="I116" s="102">
        <f t="shared" si="34"/>
        <v>0</v>
      </c>
      <c r="J116" s="36"/>
      <c r="K116" s="102">
        <f t="shared" si="24"/>
        <v>0</v>
      </c>
      <c r="L116" s="36"/>
      <c r="M116" s="102">
        <f t="shared" si="25"/>
        <v>0</v>
      </c>
      <c r="N116" s="36"/>
      <c r="O116" s="102">
        <f t="shared" si="26"/>
        <v>0</v>
      </c>
      <c r="P116" s="102">
        <f t="shared" si="30"/>
        <v>2</v>
      </c>
      <c r="Q116" s="102">
        <f t="shared" si="31"/>
        <v>50</v>
      </c>
      <c r="S116" s="2"/>
      <c r="T116" s="2"/>
    </row>
    <row r="117" spans="4:20" hidden="1" outlineLevel="1">
      <c r="E117" s="3" t="str">
        <f>PlayerPool!B104</f>
        <v>Scott Styris</v>
      </c>
      <c r="F117" s="36"/>
      <c r="G117" s="102">
        <f t="shared" si="33"/>
        <v>0</v>
      </c>
      <c r="H117" s="36"/>
      <c r="I117" s="102">
        <f t="shared" si="34"/>
        <v>0</v>
      </c>
      <c r="J117" s="36"/>
      <c r="K117" s="102">
        <f t="shared" si="24"/>
        <v>0</v>
      </c>
      <c r="L117" s="36"/>
      <c r="M117" s="102">
        <f t="shared" si="25"/>
        <v>0</v>
      </c>
      <c r="N117" s="36"/>
      <c r="O117" s="102">
        <f t="shared" si="26"/>
        <v>0</v>
      </c>
      <c r="P117" s="102">
        <f t="shared" si="30"/>
        <v>0</v>
      </c>
      <c r="Q117" s="102">
        <f t="shared" si="31"/>
        <v>0</v>
      </c>
      <c r="S117" s="2"/>
      <c r="T117" s="2"/>
    </row>
    <row r="118" spans="4:20" hidden="1" outlineLevel="1">
      <c r="E118" s="3" t="str">
        <f>PlayerPool!B105</f>
        <v>Ross Taylor</v>
      </c>
      <c r="F118" s="36"/>
      <c r="G118" s="102">
        <f t="shared" si="33"/>
        <v>0</v>
      </c>
      <c r="H118" s="36"/>
      <c r="I118" s="102">
        <f t="shared" si="34"/>
        <v>0</v>
      </c>
      <c r="J118" s="36"/>
      <c r="K118" s="102">
        <f t="shared" si="24"/>
        <v>0</v>
      </c>
      <c r="L118" s="36"/>
      <c r="M118" s="102">
        <f t="shared" si="25"/>
        <v>0</v>
      </c>
      <c r="N118" s="36"/>
      <c r="O118" s="102">
        <f t="shared" si="26"/>
        <v>0</v>
      </c>
      <c r="P118" s="102">
        <f t="shared" si="30"/>
        <v>0</v>
      </c>
      <c r="Q118" s="102">
        <f t="shared" si="31"/>
        <v>0</v>
      </c>
      <c r="S118" s="2"/>
      <c r="T118" s="2"/>
    </row>
    <row r="119" spans="4:20" hidden="1" outlineLevel="1">
      <c r="E119" s="3" t="str">
        <f>PlayerPool!B106</f>
        <v>Kane Williamson</v>
      </c>
      <c r="F119" s="36"/>
      <c r="G119" s="102">
        <f t="shared" si="33"/>
        <v>0</v>
      </c>
      <c r="H119" s="36"/>
      <c r="I119" s="102">
        <f t="shared" si="34"/>
        <v>0</v>
      </c>
      <c r="J119" s="36"/>
      <c r="K119" s="102">
        <f t="shared" si="24"/>
        <v>0</v>
      </c>
      <c r="L119" s="36"/>
      <c r="M119" s="102">
        <f t="shared" si="25"/>
        <v>0</v>
      </c>
      <c r="N119" s="36"/>
      <c r="O119" s="102">
        <f t="shared" si="26"/>
        <v>0</v>
      </c>
      <c r="P119" s="102">
        <f t="shared" si="30"/>
        <v>0</v>
      </c>
      <c r="Q119" s="102">
        <f t="shared" si="31"/>
        <v>0</v>
      </c>
      <c r="S119" s="2"/>
      <c r="T119" s="2"/>
    </row>
    <row r="120" spans="4:20" hidden="1" outlineLevel="1">
      <c r="E120" s="3" t="str">
        <f>PlayerPool!B107</f>
        <v>Luke Woodcock</v>
      </c>
      <c r="F120" s="36"/>
      <c r="G120" s="102">
        <f t="shared" si="33"/>
        <v>0</v>
      </c>
      <c r="H120" s="36"/>
      <c r="I120" s="102">
        <f t="shared" si="34"/>
        <v>0</v>
      </c>
      <c r="J120" s="36"/>
      <c r="K120" s="102">
        <f t="shared" si="24"/>
        <v>0</v>
      </c>
      <c r="L120" s="36"/>
      <c r="M120" s="102">
        <f t="shared" si="25"/>
        <v>0</v>
      </c>
      <c r="N120" s="36"/>
      <c r="O120" s="102">
        <f t="shared" si="26"/>
        <v>0</v>
      </c>
      <c r="P120" s="102">
        <f t="shared" si="30"/>
        <v>0</v>
      </c>
      <c r="Q120" s="102">
        <f t="shared" si="31"/>
        <v>0</v>
      </c>
      <c r="S120" s="2"/>
      <c r="T120" s="2"/>
    </row>
    <row r="121" spans="4:20" collapsed="1">
      <c r="D121" s="5" t="s">
        <v>102</v>
      </c>
      <c r="F121" s="105">
        <f>SUM(F122:F136)</f>
        <v>0</v>
      </c>
      <c r="G121" s="104">
        <f t="shared" ref="G121:Q121" si="35">SUM(G122:G136)</f>
        <v>0</v>
      </c>
      <c r="H121" s="105">
        <f t="shared" si="35"/>
        <v>0</v>
      </c>
      <c r="I121" s="104">
        <f t="shared" si="35"/>
        <v>0</v>
      </c>
      <c r="J121" s="105">
        <f t="shared" si="35"/>
        <v>0</v>
      </c>
      <c r="K121" s="104">
        <f t="shared" si="35"/>
        <v>0</v>
      </c>
      <c r="L121" s="105">
        <f t="shared" si="35"/>
        <v>0</v>
      </c>
      <c r="M121" s="104">
        <f t="shared" si="35"/>
        <v>0</v>
      </c>
      <c r="N121" s="105">
        <f t="shared" si="35"/>
        <v>0</v>
      </c>
      <c r="O121" s="104">
        <f t="shared" si="35"/>
        <v>0</v>
      </c>
      <c r="P121" s="105">
        <f t="shared" si="35"/>
        <v>0</v>
      </c>
      <c r="Q121" s="104">
        <f t="shared" si="35"/>
        <v>0</v>
      </c>
      <c r="S121" s="2"/>
      <c r="T121" s="2"/>
    </row>
    <row r="122" spans="4:20" hidden="1" outlineLevel="1">
      <c r="E122" s="3" t="str">
        <f>PlayerPool!B108</f>
        <v>Darren Sammy</v>
      </c>
      <c r="F122" s="36"/>
      <c r="G122" s="102">
        <f t="shared" ref="G122:G136" si="36">F122*$C$3+IF(F122&gt;4,$C$6,IF(F122&gt;3,$C$5,IF(F122&gt;2,$C$4,0)))</f>
        <v>0</v>
      </c>
      <c r="H122" s="36"/>
      <c r="I122" s="102">
        <f t="shared" ref="I122:I136" si="37">H122*$C$3+IF(H122&gt;4,$C$6,IF(H122&gt;3,$C$5,IF(H122&gt;2,$C$4,0)))</f>
        <v>0</v>
      </c>
      <c r="J122" s="36"/>
      <c r="K122" s="102">
        <f t="shared" si="24"/>
        <v>0</v>
      </c>
      <c r="L122" s="36"/>
      <c r="M122" s="102">
        <f t="shared" si="25"/>
        <v>0</v>
      </c>
      <c r="N122" s="36"/>
      <c r="O122" s="102">
        <f t="shared" si="26"/>
        <v>0</v>
      </c>
      <c r="P122" s="102">
        <f t="shared" si="30"/>
        <v>0</v>
      </c>
      <c r="Q122" s="102">
        <f t="shared" si="31"/>
        <v>0</v>
      </c>
      <c r="S122" s="2"/>
      <c r="T122" s="2"/>
    </row>
    <row r="123" spans="4:20" hidden="1" outlineLevel="1">
      <c r="E123" s="3" t="str">
        <f>PlayerPool!B109</f>
        <v>Adrian Barath</v>
      </c>
      <c r="F123" s="36"/>
      <c r="G123" s="102">
        <f t="shared" si="36"/>
        <v>0</v>
      </c>
      <c r="H123" s="36"/>
      <c r="I123" s="102">
        <f t="shared" si="37"/>
        <v>0</v>
      </c>
      <c r="J123" s="36"/>
      <c r="K123" s="102">
        <f t="shared" si="24"/>
        <v>0</v>
      </c>
      <c r="L123" s="36"/>
      <c r="M123" s="102">
        <f t="shared" si="25"/>
        <v>0</v>
      </c>
      <c r="N123" s="36"/>
      <c r="O123" s="102">
        <f t="shared" si="26"/>
        <v>0</v>
      </c>
      <c r="P123" s="102">
        <f t="shared" si="30"/>
        <v>0</v>
      </c>
      <c r="Q123" s="102">
        <f t="shared" si="31"/>
        <v>0</v>
      </c>
      <c r="S123" s="2"/>
      <c r="T123" s="2"/>
    </row>
    <row r="124" spans="4:20" hidden="1" outlineLevel="1">
      <c r="E124" s="3" t="str">
        <f>PlayerPool!B110</f>
        <v>Carlton Baugh</v>
      </c>
      <c r="F124" s="36"/>
      <c r="G124" s="102">
        <f t="shared" si="36"/>
        <v>0</v>
      </c>
      <c r="H124" s="36"/>
      <c r="I124" s="102">
        <f t="shared" si="37"/>
        <v>0</v>
      </c>
      <c r="J124" s="36"/>
      <c r="K124" s="102">
        <f t="shared" si="24"/>
        <v>0</v>
      </c>
      <c r="L124" s="36"/>
      <c r="M124" s="102">
        <f t="shared" si="25"/>
        <v>0</v>
      </c>
      <c r="N124" s="36"/>
      <c r="O124" s="102">
        <f t="shared" si="26"/>
        <v>0</v>
      </c>
      <c r="P124" s="102">
        <f t="shared" si="30"/>
        <v>0</v>
      </c>
      <c r="Q124" s="102">
        <f t="shared" si="31"/>
        <v>0</v>
      </c>
      <c r="S124" s="2"/>
      <c r="T124" s="2"/>
    </row>
    <row r="125" spans="4:20" hidden="1" outlineLevel="1">
      <c r="E125" s="3" t="str">
        <f>PlayerPool!B111</f>
        <v>Sulieman Benn</v>
      </c>
      <c r="F125" s="36"/>
      <c r="G125" s="102">
        <f t="shared" si="36"/>
        <v>0</v>
      </c>
      <c r="H125" s="36"/>
      <c r="I125" s="102">
        <f t="shared" si="37"/>
        <v>0</v>
      </c>
      <c r="J125" s="36"/>
      <c r="K125" s="102">
        <f t="shared" si="24"/>
        <v>0</v>
      </c>
      <c r="L125" s="36"/>
      <c r="M125" s="102">
        <f t="shared" si="25"/>
        <v>0</v>
      </c>
      <c r="N125" s="36"/>
      <c r="O125" s="102">
        <f t="shared" si="26"/>
        <v>0</v>
      </c>
      <c r="P125" s="102">
        <f t="shared" si="30"/>
        <v>0</v>
      </c>
      <c r="Q125" s="102">
        <f t="shared" si="31"/>
        <v>0</v>
      </c>
      <c r="S125" s="2"/>
      <c r="T125" s="2"/>
    </row>
    <row r="126" spans="4:20" hidden="1" outlineLevel="1">
      <c r="E126" s="3" t="str">
        <f>PlayerPool!B112</f>
        <v>Dwayne Bravo</v>
      </c>
      <c r="F126" s="36"/>
      <c r="G126" s="102">
        <f t="shared" si="36"/>
        <v>0</v>
      </c>
      <c r="H126" s="36"/>
      <c r="I126" s="102">
        <f t="shared" si="37"/>
        <v>0</v>
      </c>
      <c r="J126" s="36"/>
      <c r="K126" s="102">
        <f t="shared" si="24"/>
        <v>0</v>
      </c>
      <c r="L126" s="36"/>
      <c r="M126" s="102">
        <f t="shared" si="25"/>
        <v>0</v>
      </c>
      <c r="N126" s="36"/>
      <c r="O126" s="102">
        <f t="shared" si="26"/>
        <v>0</v>
      </c>
      <c r="P126" s="102">
        <f t="shared" si="30"/>
        <v>0</v>
      </c>
      <c r="Q126" s="102">
        <f t="shared" si="31"/>
        <v>0</v>
      </c>
      <c r="S126" s="2"/>
      <c r="T126" s="2"/>
    </row>
    <row r="127" spans="4:20" hidden="1" outlineLevel="1">
      <c r="E127" s="3" t="str">
        <f>PlayerPool!B113</f>
        <v>Darren Bravo</v>
      </c>
      <c r="F127" s="36"/>
      <c r="G127" s="102">
        <f t="shared" si="36"/>
        <v>0</v>
      </c>
      <c r="H127" s="36"/>
      <c r="I127" s="102">
        <f t="shared" si="37"/>
        <v>0</v>
      </c>
      <c r="J127" s="36"/>
      <c r="K127" s="102">
        <f t="shared" si="24"/>
        <v>0</v>
      </c>
      <c r="L127" s="36"/>
      <c r="M127" s="102">
        <f t="shared" si="25"/>
        <v>0</v>
      </c>
      <c r="N127" s="36"/>
      <c r="O127" s="102">
        <f t="shared" si="26"/>
        <v>0</v>
      </c>
      <c r="P127" s="102">
        <f t="shared" si="30"/>
        <v>0</v>
      </c>
      <c r="Q127" s="102">
        <f t="shared" si="31"/>
        <v>0</v>
      </c>
      <c r="S127" s="2"/>
      <c r="T127" s="2"/>
    </row>
    <row r="128" spans="4:20" hidden="1" outlineLevel="1">
      <c r="E128" s="3" t="str">
        <f>PlayerPool!B114</f>
        <v>Shivnarine Chanderpaul</v>
      </c>
      <c r="F128" s="36"/>
      <c r="G128" s="102">
        <f t="shared" si="36"/>
        <v>0</v>
      </c>
      <c r="H128" s="36"/>
      <c r="I128" s="102">
        <f t="shared" si="37"/>
        <v>0</v>
      </c>
      <c r="J128" s="36"/>
      <c r="K128" s="102">
        <f t="shared" si="24"/>
        <v>0</v>
      </c>
      <c r="L128" s="36"/>
      <c r="M128" s="102">
        <f t="shared" si="25"/>
        <v>0</v>
      </c>
      <c r="N128" s="36"/>
      <c r="O128" s="102">
        <f t="shared" si="26"/>
        <v>0</v>
      </c>
      <c r="P128" s="102">
        <f t="shared" si="30"/>
        <v>0</v>
      </c>
      <c r="Q128" s="102">
        <f t="shared" si="31"/>
        <v>0</v>
      </c>
      <c r="S128" s="2"/>
      <c r="T128" s="2"/>
    </row>
    <row r="129" spans="4:20" hidden="1" outlineLevel="1">
      <c r="E129" s="3" t="str">
        <f>PlayerPool!B115</f>
        <v>Chris Gayle</v>
      </c>
      <c r="F129" s="36"/>
      <c r="G129" s="102">
        <f t="shared" si="36"/>
        <v>0</v>
      </c>
      <c r="H129" s="36"/>
      <c r="I129" s="102">
        <f t="shared" si="37"/>
        <v>0</v>
      </c>
      <c r="J129" s="36"/>
      <c r="K129" s="102">
        <f t="shared" si="24"/>
        <v>0</v>
      </c>
      <c r="L129" s="36"/>
      <c r="M129" s="102">
        <f t="shared" si="25"/>
        <v>0</v>
      </c>
      <c r="N129" s="36"/>
      <c r="O129" s="102">
        <f t="shared" si="26"/>
        <v>0</v>
      </c>
      <c r="P129" s="102">
        <f t="shared" si="30"/>
        <v>0</v>
      </c>
      <c r="Q129" s="102">
        <f t="shared" si="31"/>
        <v>0</v>
      </c>
      <c r="S129" s="2"/>
      <c r="T129" s="2"/>
    </row>
    <row r="130" spans="4:20" hidden="1" outlineLevel="1">
      <c r="E130" s="3" t="str">
        <f>PlayerPool!B116</f>
        <v>Nikita Miller</v>
      </c>
      <c r="F130" s="36"/>
      <c r="G130" s="102">
        <f t="shared" si="36"/>
        <v>0</v>
      </c>
      <c r="H130" s="36"/>
      <c r="I130" s="102">
        <f t="shared" si="37"/>
        <v>0</v>
      </c>
      <c r="J130" s="36"/>
      <c r="K130" s="102">
        <f t="shared" si="24"/>
        <v>0</v>
      </c>
      <c r="L130" s="36"/>
      <c r="M130" s="102">
        <f t="shared" si="25"/>
        <v>0</v>
      </c>
      <c r="N130" s="36"/>
      <c r="O130" s="102">
        <f t="shared" si="26"/>
        <v>0</v>
      </c>
      <c r="P130" s="102">
        <f t="shared" si="30"/>
        <v>0</v>
      </c>
      <c r="Q130" s="102">
        <f t="shared" si="31"/>
        <v>0</v>
      </c>
      <c r="S130" s="2"/>
      <c r="T130" s="2"/>
    </row>
    <row r="131" spans="4:20" hidden="1" outlineLevel="1">
      <c r="E131" s="3" t="str">
        <f>PlayerPool!B117</f>
        <v>Kieron Pollard</v>
      </c>
      <c r="F131" s="36"/>
      <c r="G131" s="102">
        <f t="shared" si="36"/>
        <v>0</v>
      </c>
      <c r="H131" s="36"/>
      <c r="I131" s="102">
        <f t="shared" si="37"/>
        <v>0</v>
      </c>
      <c r="J131" s="36"/>
      <c r="K131" s="102">
        <f t="shared" si="24"/>
        <v>0</v>
      </c>
      <c r="L131" s="36"/>
      <c r="M131" s="102">
        <f t="shared" si="25"/>
        <v>0</v>
      </c>
      <c r="N131" s="36"/>
      <c r="O131" s="102">
        <f t="shared" si="26"/>
        <v>0</v>
      </c>
      <c r="P131" s="102">
        <f t="shared" si="30"/>
        <v>0</v>
      </c>
      <c r="Q131" s="102">
        <f t="shared" si="31"/>
        <v>0</v>
      </c>
      <c r="S131" s="2"/>
      <c r="T131" s="2"/>
    </row>
    <row r="132" spans="4:20" hidden="1" outlineLevel="1">
      <c r="E132" s="3" t="str">
        <f>PlayerPool!B118</f>
        <v>Ravi Rampaul</v>
      </c>
      <c r="F132" s="36"/>
      <c r="G132" s="102">
        <f t="shared" si="36"/>
        <v>0</v>
      </c>
      <c r="H132" s="36"/>
      <c r="I132" s="102">
        <f t="shared" si="37"/>
        <v>0</v>
      </c>
      <c r="J132" s="36"/>
      <c r="K132" s="102">
        <f t="shared" si="24"/>
        <v>0</v>
      </c>
      <c r="L132" s="36"/>
      <c r="M132" s="102">
        <f t="shared" si="25"/>
        <v>0</v>
      </c>
      <c r="N132" s="36"/>
      <c r="O132" s="102">
        <f t="shared" si="26"/>
        <v>0</v>
      </c>
      <c r="P132" s="102">
        <f t="shared" si="30"/>
        <v>0</v>
      </c>
      <c r="Q132" s="102">
        <f t="shared" si="31"/>
        <v>0</v>
      </c>
      <c r="S132" s="2"/>
      <c r="T132" s="2"/>
    </row>
    <row r="133" spans="4:20" hidden="1" outlineLevel="1">
      <c r="E133" s="3" t="str">
        <f>PlayerPool!B119</f>
        <v>Kemar Roach</v>
      </c>
      <c r="F133" s="36"/>
      <c r="G133" s="102">
        <f t="shared" si="36"/>
        <v>0</v>
      </c>
      <c r="H133" s="36"/>
      <c r="I133" s="102">
        <f t="shared" si="37"/>
        <v>0</v>
      </c>
      <c r="J133" s="36"/>
      <c r="K133" s="102">
        <f t="shared" si="24"/>
        <v>0</v>
      </c>
      <c r="L133" s="36"/>
      <c r="M133" s="102">
        <f t="shared" si="25"/>
        <v>0</v>
      </c>
      <c r="N133" s="36"/>
      <c r="O133" s="102">
        <f t="shared" si="26"/>
        <v>0</v>
      </c>
      <c r="P133" s="102">
        <f t="shared" si="30"/>
        <v>0</v>
      </c>
      <c r="Q133" s="102">
        <f t="shared" si="31"/>
        <v>0</v>
      </c>
      <c r="S133" s="2"/>
      <c r="T133" s="2"/>
    </row>
    <row r="134" spans="4:20" hidden="1" outlineLevel="1">
      <c r="E134" s="3" t="str">
        <f>PlayerPool!B120</f>
        <v>Andre Russell</v>
      </c>
      <c r="F134" s="36"/>
      <c r="G134" s="102">
        <f t="shared" si="36"/>
        <v>0</v>
      </c>
      <c r="H134" s="36"/>
      <c r="I134" s="102">
        <f t="shared" si="37"/>
        <v>0</v>
      </c>
      <c r="J134" s="36"/>
      <c r="K134" s="102">
        <f t="shared" si="24"/>
        <v>0</v>
      </c>
      <c r="L134" s="36"/>
      <c r="M134" s="102">
        <f t="shared" si="25"/>
        <v>0</v>
      </c>
      <c r="N134" s="36"/>
      <c r="O134" s="102">
        <f t="shared" si="26"/>
        <v>0</v>
      </c>
      <c r="P134" s="102">
        <f t="shared" si="30"/>
        <v>0</v>
      </c>
      <c r="Q134" s="102">
        <f t="shared" si="31"/>
        <v>0</v>
      </c>
      <c r="S134" s="2"/>
      <c r="T134" s="2"/>
    </row>
    <row r="135" spans="4:20" hidden="1" outlineLevel="1">
      <c r="E135" s="3" t="str">
        <f>PlayerPool!B121</f>
        <v>Ramnaresh Sarwan</v>
      </c>
      <c r="F135" s="36"/>
      <c r="G135" s="102">
        <f t="shared" si="36"/>
        <v>0</v>
      </c>
      <c r="H135" s="36"/>
      <c r="I135" s="102">
        <f t="shared" si="37"/>
        <v>0</v>
      </c>
      <c r="J135" s="36"/>
      <c r="K135" s="102">
        <f t="shared" si="24"/>
        <v>0</v>
      </c>
      <c r="L135" s="36"/>
      <c r="M135" s="102">
        <f t="shared" si="25"/>
        <v>0</v>
      </c>
      <c r="N135" s="36"/>
      <c r="O135" s="102">
        <f t="shared" si="26"/>
        <v>0</v>
      </c>
      <c r="P135" s="102">
        <f t="shared" si="30"/>
        <v>0</v>
      </c>
      <c r="Q135" s="102">
        <f t="shared" si="31"/>
        <v>0</v>
      </c>
      <c r="S135" s="2"/>
      <c r="T135" s="2"/>
    </row>
    <row r="136" spans="4:20" hidden="1" outlineLevel="1">
      <c r="E136" s="3" t="str">
        <f>PlayerPool!B122</f>
        <v>Devon Smith</v>
      </c>
      <c r="F136" s="36"/>
      <c r="G136" s="102">
        <f t="shared" si="36"/>
        <v>0</v>
      </c>
      <c r="H136" s="36"/>
      <c r="I136" s="102">
        <f t="shared" si="37"/>
        <v>0</v>
      </c>
      <c r="J136" s="36"/>
      <c r="K136" s="102">
        <f t="shared" si="24"/>
        <v>0</v>
      </c>
      <c r="L136" s="36"/>
      <c r="M136" s="102">
        <f t="shared" si="25"/>
        <v>0</v>
      </c>
      <c r="N136" s="36"/>
      <c r="O136" s="102">
        <f t="shared" si="26"/>
        <v>0</v>
      </c>
      <c r="P136" s="102">
        <f t="shared" si="30"/>
        <v>0</v>
      </c>
      <c r="Q136" s="102">
        <f t="shared" si="31"/>
        <v>0</v>
      </c>
      <c r="S136" s="2"/>
      <c r="T136" s="2"/>
    </row>
    <row r="137" spans="4:20" collapsed="1">
      <c r="D137" s="5" t="s">
        <v>101</v>
      </c>
      <c r="F137" s="105">
        <f>SUM(F138:F152)</f>
        <v>3</v>
      </c>
      <c r="G137" s="104">
        <f t="shared" ref="G137:Q137" si="38">SUM(G138:G152)</f>
        <v>75</v>
      </c>
      <c r="H137" s="105">
        <f t="shared" si="38"/>
        <v>0</v>
      </c>
      <c r="I137" s="104">
        <f t="shared" si="38"/>
        <v>0</v>
      </c>
      <c r="J137" s="105">
        <f t="shared" si="38"/>
        <v>0</v>
      </c>
      <c r="K137" s="104">
        <f t="shared" si="38"/>
        <v>0</v>
      </c>
      <c r="L137" s="105">
        <f t="shared" si="38"/>
        <v>0</v>
      </c>
      <c r="M137" s="104">
        <f t="shared" si="38"/>
        <v>0</v>
      </c>
      <c r="N137" s="105">
        <f t="shared" si="38"/>
        <v>0</v>
      </c>
      <c r="O137" s="104">
        <f t="shared" si="38"/>
        <v>0</v>
      </c>
      <c r="P137" s="105">
        <f t="shared" si="38"/>
        <v>3</v>
      </c>
      <c r="Q137" s="104">
        <f t="shared" si="38"/>
        <v>75</v>
      </c>
    </row>
    <row r="138" spans="4:20" outlineLevel="1">
      <c r="E138" s="3" t="str">
        <f>PlayerPool!B123</f>
        <v>Shakib Al Hasan</v>
      </c>
      <c r="F138" s="36"/>
      <c r="G138" s="37">
        <f t="shared" ref="G138:G152" si="39">F138*$C$3+IF(F138&gt;4,$C$6,IF(F138&gt;3,$C$5,IF(F138&gt;2,$C$4,0)))</f>
        <v>0</v>
      </c>
      <c r="H138" s="36"/>
      <c r="I138" s="37">
        <f t="shared" ref="I138:I152" si="40">H138*$C$3+IF(H138&gt;4,$C$6,IF(H138&gt;3,$C$5,IF(H138&gt;2,$C$4,0)))</f>
        <v>0</v>
      </c>
      <c r="J138" s="36"/>
      <c r="K138" s="37">
        <f t="shared" si="24"/>
        <v>0</v>
      </c>
      <c r="L138" s="36"/>
      <c r="M138" s="37">
        <f t="shared" si="25"/>
        <v>0</v>
      </c>
      <c r="N138" s="36"/>
      <c r="O138" s="37">
        <f t="shared" si="26"/>
        <v>0</v>
      </c>
      <c r="P138" s="36">
        <f t="shared" si="30"/>
        <v>0</v>
      </c>
      <c r="Q138" s="36">
        <f t="shared" si="31"/>
        <v>0</v>
      </c>
    </row>
    <row r="139" spans="4:20" outlineLevel="1">
      <c r="E139" s="3" t="str">
        <f>PlayerPool!B124</f>
        <v>Tamim Iqbal</v>
      </c>
      <c r="F139" s="36"/>
      <c r="G139" s="37">
        <f t="shared" si="39"/>
        <v>0</v>
      </c>
      <c r="H139" s="36"/>
      <c r="I139" s="37">
        <f t="shared" si="40"/>
        <v>0</v>
      </c>
      <c r="J139" s="36"/>
      <c r="K139" s="37">
        <f t="shared" si="24"/>
        <v>0</v>
      </c>
      <c r="L139" s="36"/>
      <c r="M139" s="37">
        <f t="shared" si="25"/>
        <v>0</v>
      </c>
      <c r="N139" s="36"/>
      <c r="O139" s="37">
        <f t="shared" si="26"/>
        <v>0</v>
      </c>
      <c r="P139" s="36">
        <f t="shared" si="30"/>
        <v>0</v>
      </c>
      <c r="Q139" s="36">
        <f t="shared" si="31"/>
        <v>0</v>
      </c>
    </row>
    <row r="140" spans="4:20" outlineLevel="1">
      <c r="E140" s="3" t="str">
        <f>PlayerPool!B125</f>
        <v>Abdur Razzak</v>
      </c>
      <c r="F140" s="36">
        <v>1</v>
      </c>
      <c r="G140" s="37">
        <f t="shared" si="39"/>
        <v>25</v>
      </c>
      <c r="H140" s="36"/>
      <c r="I140" s="37">
        <f t="shared" si="40"/>
        <v>0</v>
      </c>
      <c r="J140" s="36"/>
      <c r="K140" s="37">
        <f t="shared" si="24"/>
        <v>0</v>
      </c>
      <c r="L140" s="36"/>
      <c r="M140" s="37">
        <f t="shared" si="25"/>
        <v>0</v>
      </c>
      <c r="N140" s="36"/>
      <c r="O140" s="37">
        <f t="shared" si="26"/>
        <v>0</v>
      </c>
      <c r="P140" s="36">
        <f t="shared" si="30"/>
        <v>1</v>
      </c>
      <c r="Q140" s="36">
        <f t="shared" si="31"/>
        <v>25</v>
      </c>
    </row>
    <row r="141" spans="4:20" outlineLevel="1">
      <c r="E141" s="3" t="str">
        <f>PlayerPool!B126</f>
        <v>Imrul Kayes</v>
      </c>
      <c r="F141" s="36">
        <v>1</v>
      </c>
      <c r="G141" s="37">
        <f t="shared" si="39"/>
        <v>25</v>
      </c>
      <c r="H141" s="36"/>
      <c r="I141" s="37">
        <f t="shared" si="40"/>
        <v>0</v>
      </c>
      <c r="J141" s="36"/>
      <c r="K141" s="37">
        <f t="shared" si="24"/>
        <v>0</v>
      </c>
      <c r="L141" s="36"/>
      <c r="M141" s="37">
        <f t="shared" si="25"/>
        <v>0</v>
      </c>
      <c r="N141" s="36"/>
      <c r="O141" s="37">
        <f t="shared" si="26"/>
        <v>0</v>
      </c>
      <c r="P141" s="36">
        <f t="shared" si="30"/>
        <v>1</v>
      </c>
      <c r="Q141" s="36">
        <f t="shared" si="31"/>
        <v>25</v>
      </c>
    </row>
    <row r="142" spans="4:20" outlineLevel="1">
      <c r="E142" s="3" t="str">
        <f>PlayerPool!B127</f>
        <v>Junaid Siddique</v>
      </c>
      <c r="F142" s="36">
        <v>1</v>
      </c>
      <c r="G142" s="37">
        <f t="shared" si="39"/>
        <v>25</v>
      </c>
      <c r="H142" s="36"/>
      <c r="I142" s="37">
        <f t="shared" si="40"/>
        <v>0</v>
      </c>
      <c r="J142" s="36"/>
      <c r="K142" s="37">
        <f t="shared" si="24"/>
        <v>0</v>
      </c>
      <c r="L142" s="36"/>
      <c r="M142" s="37">
        <f t="shared" si="25"/>
        <v>0</v>
      </c>
      <c r="N142" s="36"/>
      <c r="O142" s="37">
        <f t="shared" si="26"/>
        <v>0</v>
      </c>
      <c r="P142" s="36">
        <f t="shared" si="30"/>
        <v>1</v>
      </c>
      <c r="Q142" s="36">
        <f t="shared" si="31"/>
        <v>25</v>
      </c>
    </row>
    <row r="143" spans="4:20" outlineLevel="1">
      <c r="E143" s="3" t="str">
        <f>PlayerPool!B128</f>
        <v>Mahmudullah</v>
      </c>
      <c r="F143" s="36"/>
      <c r="G143" s="37">
        <f t="shared" si="39"/>
        <v>0</v>
      </c>
      <c r="H143" s="36"/>
      <c r="I143" s="37">
        <f t="shared" si="40"/>
        <v>0</v>
      </c>
      <c r="J143" s="36"/>
      <c r="K143" s="37">
        <f t="shared" si="24"/>
        <v>0</v>
      </c>
      <c r="L143" s="36"/>
      <c r="M143" s="37">
        <f t="shared" si="25"/>
        <v>0</v>
      </c>
      <c r="N143" s="36"/>
      <c r="O143" s="37">
        <f t="shared" si="26"/>
        <v>0</v>
      </c>
      <c r="P143" s="36">
        <f t="shared" si="30"/>
        <v>0</v>
      </c>
      <c r="Q143" s="36">
        <f t="shared" si="31"/>
        <v>0</v>
      </c>
    </row>
    <row r="144" spans="4:20" outlineLevel="1">
      <c r="E144" s="3" t="str">
        <f>PlayerPool!B129</f>
        <v>Mohammad Ashraful</v>
      </c>
      <c r="F144" s="36"/>
      <c r="G144" s="37">
        <f t="shared" si="39"/>
        <v>0</v>
      </c>
      <c r="H144" s="36"/>
      <c r="I144" s="37">
        <f t="shared" si="40"/>
        <v>0</v>
      </c>
      <c r="J144" s="36"/>
      <c r="K144" s="37">
        <f t="shared" si="24"/>
        <v>0</v>
      </c>
      <c r="L144" s="36"/>
      <c r="M144" s="37">
        <f t="shared" si="25"/>
        <v>0</v>
      </c>
      <c r="N144" s="36"/>
      <c r="O144" s="37">
        <f t="shared" si="26"/>
        <v>0</v>
      </c>
      <c r="P144" s="36">
        <f t="shared" si="30"/>
        <v>0</v>
      </c>
      <c r="Q144" s="36">
        <f t="shared" si="31"/>
        <v>0</v>
      </c>
    </row>
    <row r="145" spans="5:17" outlineLevel="1">
      <c r="E145" s="3" t="str">
        <f>PlayerPool!B130</f>
        <v>Mushfique Rahim</v>
      </c>
      <c r="F145" s="36"/>
      <c r="G145" s="37">
        <f t="shared" si="39"/>
        <v>0</v>
      </c>
      <c r="H145" s="36"/>
      <c r="I145" s="37">
        <f t="shared" si="40"/>
        <v>0</v>
      </c>
      <c r="J145" s="36"/>
      <c r="K145" s="37">
        <f t="shared" si="24"/>
        <v>0</v>
      </c>
      <c r="L145" s="36"/>
      <c r="M145" s="37">
        <f t="shared" si="25"/>
        <v>0</v>
      </c>
      <c r="N145" s="36"/>
      <c r="O145" s="37">
        <f t="shared" si="26"/>
        <v>0</v>
      </c>
      <c r="P145" s="36">
        <f t="shared" si="30"/>
        <v>0</v>
      </c>
      <c r="Q145" s="36">
        <f t="shared" si="31"/>
        <v>0</v>
      </c>
    </row>
    <row r="146" spans="5:17" outlineLevel="1">
      <c r="E146" s="3" t="str">
        <f>PlayerPool!B131</f>
        <v>Naeem Islam</v>
      </c>
      <c r="F146" s="36"/>
      <c r="G146" s="37">
        <f t="shared" si="39"/>
        <v>0</v>
      </c>
      <c r="H146" s="36"/>
      <c r="I146" s="37">
        <f t="shared" si="40"/>
        <v>0</v>
      </c>
      <c r="J146" s="36"/>
      <c r="K146" s="37">
        <f t="shared" si="24"/>
        <v>0</v>
      </c>
      <c r="L146" s="36"/>
      <c r="M146" s="37">
        <f t="shared" si="25"/>
        <v>0</v>
      </c>
      <c r="N146" s="36"/>
      <c r="O146" s="37">
        <f t="shared" si="26"/>
        <v>0</v>
      </c>
      <c r="P146" s="36">
        <f t="shared" si="30"/>
        <v>0</v>
      </c>
      <c r="Q146" s="36">
        <f t="shared" si="31"/>
        <v>0</v>
      </c>
    </row>
    <row r="147" spans="5:17" outlineLevel="1">
      <c r="E147" s="3" t="str">
        <f>PlayerPool!B132</f>
        <v>Nazmul Hossain</v>
      </c>
      <c r="F147" s="36"/>
      <c r="G147" s="37">
        <f t="shared" si="39"/>
        <v>0</v>
      </c>
      <c r="H147" s="36"/>
      <c r="I147" s="37">
        <f t="shared" si="40"/>
        <v>0</v>
      </c>
      <c r="J147" s="36"/>
      <c r="K147" s="37">
        <f t="shared" si="24"/>
        <v>0</v>
      </c>
      <c r="L147" s="36"/>
      <c r="M147" s="37">
        <f t="shared" si="25"/>
        <v>0</v>
      </c>
      <c r="N147" s="36"/>
      <c r="O147" s="37">
        <f t="shared" si="26"/>
        <v>0</v>
      </c>
      <c r="P147" s="36">
        <f t="shared" si="30"/>
        <v>0</v>
      </c>
      <c r="Q147" s="36">
        <f t="shared" si="31"/>
        <v>0</v>
      </c>
    </row>
    <row r="148" spans="5:17" outlineLevel="1">
      <c r="E148" s="3" t="str">
        <f>PlayerPool!B133</f>
        <v>Raqibul Hasan</v>
      </c>
      <c r="F148" s="36"/>
      <c r="G148" s="37">
        <f t="shared" si="39"/>
        <v>0</v>
      </c>
      <c r="H148" s="36"/>
      <c r="I148" s="37">
        <f t="shared" si="40"/>
        <v>0</v>
      </c>
      <c r="J148" s="36"/>
      <c r="K148" s="37">
        <f t="shared" si="24"/>
        <v>0</v>
      </c>
      <c r="L148" s="36"/>
      <c r="M148" s="37">
        <f t="shared" si="25"/>
        <v>0</v>
      </c>
      <c r="N148" s="36"/>
      <c r="O148" s="37">
        <f t="shared" si="26"/>
        <v>0</v>
      </c>
      <c r="P148" s="36">
        <f t="shared" si="30"/>
        <v>0</v>
      </c>
      <c r="Q148" s="36">
        <f t="shared" si="31"/>
        <v>0</v>
      </c>
    </row>
    <row r="149" spans="5:17" outlineLevel="1">
      <c r="E149" s="3" t="str">
        <f>PlayerPool!B134</f>
        <v>Rubel Hossain</v>
      </c>
      <c r="F149" s="36"/>
      <c r="G149" s="37">
        <f t="shared" si="39"/>
        <v>0</v>
      </c>
      <c r="H149" s="36"/>
      <c r="I149" s="37">
        <f t="shared" si="40"/>
        <v>0</v>
      </c>
      <c r="J149" s="36"/>
      <c r="K149" s="37">
        <f t="shared" si="24"/>
        <v>0</v>
      </c>
      <c r="L149" s="36"/>
      <c r="M149" s="37">
        <f t="shared" si="25"/>
        <v>0</v>
      </c>
      <c r="N149" s="36"/>
      <c r="O149" s="37">
        <f t="shared" si="26"/>
        <v>0</v>
      </c>
      <c r="P149" s="36">
        <f t="shared" si="30"/>
        <v>0</v>
      </c>
      <c r="Q149" s="36">
        <f t="shared" si="31"/>
        <v>0</v>
      </c>
    </row>
    <row r="150" spans="5:17" outlineLevel="1">
      <c r="E150" s="3" t="str">
        <f>PlayerPool!B135</f>
        <v>Shafiul Islam</v>
      </c>
      <c r="F150" s="36"/>
      <c r="G150" s="37">
        <f t="shared" si="39"/>
        <v>0</v>
      </c>
      <c r="H150" s="36"/>
      <c r="I150" s="37">
        <f t="shared" si="40"/>
        <v>0</v>
      </c>
      <c r="J150" s="36"/>
      <c r="K150" s="37">
        <f t="shared" si="24"/>
        <v>0</v>
      </c>
      <c r="L150" s="36"/>
      <c r="M150" s="37">
        <f t="shared" si="25"/>
        <v>0</v>
      </c>
      <c r="N150" s="36"/>
      <c r="O150" s="37">
        <f t="shared" si="26"/>
        <v>0</v>
      </c>
      <c r="P150" s="36">
        <f t="shared" si="30"/>
        <v>0</v>
      </c>
      <c r="Q150" s="36">
        <f t="shared" si="31"/>
        <v>0</v>
      </c>
    </row>
    <row r="151" spans="5:17" outlineLevel="1">
      <c r="E151" s="3" t="str">
        <f>PlayerPool!B136</f>
        <v>Shahriar Nafees</v>
      </c>
      <c r="F151" s="36"/>
      <c r="G151" s="37">
        <f t="shared" si="39"/>
        <v>0</v>
      </c>
      <c r="H151" s="36"/>
      <c r="I151" s="37">
        <f t="shared" si="40"/>
        <v>0</v>
      </c>
      <c r="J151" s="36"/>
      <c r="K151" s="37">
        <f t="shared" si="24"/>
        <v>0</v>
      </c>
      <c r="L151" s="36"/>
      <c r="M151" s="37">
        <f t="shared" si="25"/>
        <v>0</v>
      </c>
      <c r="N151" s="36"/>
      <c r="O151" s="37">
        <f t="shared" si="26"/>
        <v>0</v>
      </c>
      <c r="P151" s="36">
        <f t="shared" si="30"/>
        <v>0</v>
      </c>
      <c r="Q151" s="36">
        <f t="shared" si="31"/>
        <v>0</v>
      </c>
    </row>
    <row r="152" spans="5:17" outlineLevel="1">
      <c r="E152" s="3" t="str">
        <f>PlayerPool!B137</f>
        <v>Suhrawadi Shuvo</v>
      </c>
      <c r="F152" s="36"/>
      <c r="G152" s="37">
        <f t="shared" si="39"/>
        <v>0</v>
      </c>
      <c r="H152" s="36"/>
      <c r="I152" s="37">
        <f t="shared" si="40"/>
        <v>0</v>
      </c>
      <c r="J152" s="36"/>
      <c r="K152" s="37">
        <f>J152*$C$3+IF(J152&gt;4,$C$6,IF(J152&gt;3,$C$5,IF(J152&gt;2,$C$4,0)))</f>
        <v>0</v>
      </c>
      <c r="L152" s="36"/>
      <c r="M152" s="37">
        <f>L152*$C$3+IF(L152&gt;4,$C$6,IF(L152&gt;3,$C$5,IF(L152&gt;2,$C$4,0)))</f>
        <v>0</v>
      </c>
      <c r="N152" s="36"/>
      <c r="O152" s="37">
        <f>N152*$C$3+IF(N152&gt;4,$C$6,IF(N152&gt;3,$C$5,IF(N152&gt;2,$C$4,0)))</f>
        <v>0</v>
      </c>
      <c r="P152" s="36">
        <f t="shared" si="30"/>
        <v>0</v>
      </c>
      <c r="Q152" s="36">
        <f t="shared" si="31"/>
        <v>0</v>
      </c>
    </row>
  </sheetData>
  <mergeCells count="7">
    <mergeCell ref="N7:O7"/>
    <mergeCell ref="B2:D2"/>
    <mergeCell ref="F7:G7"/>
    <mergeCell ref="H7:I7"/>
    <mergeCell ref="J7:K7"/>
    <mergeCell ref="L7:M7"/>
    <mergeCell ref="F6:O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B1:T153"/>
  <sheetViews>
    <sheetView workbookViewId="0">
      <pane xSplit="5" ySplit="8" topLeftCell="F12" activePane="bottomRight" state="frozen"/>
      <selection pane="topRight" activeCell="F1" sqref="F1"/>
      <selection pane="bottomLeft" activeCell="A6" sqref="A6"/>
      <selection pane="bottomRight" activeCell="B17" sqref="B17"/>
    </sheetView>
  </sheetViews>
  <sheetFormatPr defaultRowHeight="14.5" outlineLevelRow="1"/>
  <cols>
    <col min="1" max="1" width="4.54296875" customWidth="1"/>
    <col min="2" max="2" width="12" bestFit="1" customWidth="1"/>
    <col min="3" max="3" width="7.453125" customWidth="1"/>
    <col min="4" max="4" width="12.54296875" bestFit="1" customWidth="1"/>
    <col min="5" max="5" width="16.26953125" bestFit="1" customWidth="1"/>
    <col min="6" max="6" width="10.54296875" bestFit="1" customWidth="1"/>
    <col min="7" max="7" width="5.7265625" bestFit="1" customWidth="1"/>
    <col min="8" max="8" width="10.54296875" bestFit="1" customWidth="1"/>
    <col min="9" max="9" width="5.7265625" bestFit="1" customWidth="1"/>
    <col min="10" max="10" width="10.54296875" bestFit="1" customWidth="1"/>
    <col min="11" max="11" width="5.7265625" bestFit="1" customWidth="1"/>
    <col min="12" max="12" width="10.54296875" bestFit="1" customWidth="1"/>
    <col min="13" max="13" width="5.7265625" bestFit="1" customWidth="1"/>
    <col min="14" max="14" width="10.54296875" bestFit="1" customWidth="1"/>
    <col min="15" max="15" width="5.7265625" bestFit="1" customWidth="1"/>
    <col min="16" max="16" width="15.54296875" bestFit="1" customWidth="1"/>
    <col min="17" max="17" width="11.453125" bestFit="1" customWidth="1"/>
    <col min="18" max="18" width="6.7265625" customWidth="1"/>
    <col min="19" max="19" width="12" bestFit="1" customWidth="1"/>
    <col min="20" max="20" width="3" bestFit="1" customWidth="1"/>
    <col min="21" max="21" width="6.54296875" bestFit="1" customWidth="1"/>
  </cols>
  <sheetData>
    <row r="1" spans="2:20" ht="15" thickBot="1"/>
    <row r="2" spans="2:20">
      <c r="B2" s="134" t="s">
        <v>17</v>
      </c>
      <c r="C2" s="135"/>
      <c r="D2" s="136"/>
    </row>
    <row r="3" spans="2:20" ht="15" thickBot="1">
      <c r="B3" s="13" t="s">
        <v>25</v>
      </c>
      <c r="C3" s="45">
        <v>10</v>
      </c>
      <c r="D3" s="15" t="s">
        <v>21</v>
      </c>
    </row>
    <row r="6" spans="2:20">
      <c r="F6" s="131" t="s">
        <v>2</v>
      </c>
      <c r="G6" s="131"/>
      <c r="H6" s="131"/>
      <c r="I6" s="131"/>
      <c r="J6" s="131"/>
      <c r="K6" s="131"/>
      <c r="L6" s="131"/>
      <c r="M6" s="131"/>
      <c r="N6" s="131"/>
      <c r="O6" s="131"/>
    </row>
    <row r="7" spans="2:20">
      <c r="F7" s="132">
        <v>40562</v>
      </c>
      <c r="G7" s="133"/>
      <c r="H7" s="132">
        <v>40563</v>
      </c>
      <c r="I7" s="133"/>
      <c r="J7" s="132">
        <v>40564</v>
      </c>
      <c r="K7" s="133"/>
      <c r="L7" s="132">
        <v>40565</v>
      </c>
      <c r="M7" s="133"/>
      <c r="N7" s="132">
        <v>40566</v>
      </c>
      <c r="O7" s="133"/>
    </row>
    <row r="8" spans="2:20">
      <c r="F8" s="8" t="s">
        <v>23</v>
      </c>
      <c r="G8" s="8" t="s">
        <v>7</v>
      </c>
      <c r="H8" s="8" t="s">
        <v>23</v>
      </c>
      <c r="I8" s="8" t="s">
        <v>7</v>
      </c>
      <c r="J8" s="8" t="s">
        <v>23</v>
      </c>
      <c r="K8" s="8" t="s">
        <v>7</v>
      </c>
      <c r="L8" s="8" t="s">
        <v>23</v>
      </c>
      <c r="M8" s="8" t="s">
        <v>7</v>
      </c>
      <c r="N8" s="8" t="s">
        <v>23</v>
      </c>
      <c r="O8" s="8" t="s">
        <v>7</v>
      </c>
      <c r="P8" s="9" t="s">
        <v>24</v>
      </c>
      <c r="Q8" s="10" t="s">
        <v>3</v>
      </c>
    </row>
    <row r="9" spans="2:20">
      <c r="D9" s="5" t="s">
        <v>0</v>
      </c>
      <c r="F9" s="105">
        <f>SUM(F10:F24)</f>
        <v>6</v>
      </c>
      <c r="G9" s="104">
        <f t="shared" ref="G9:Q9" si="0">SUM(G10:G24)</f>
        <v>60</v>
      </c>
      <c r="H9" s="105">
        <f t="shared" si="0"/>
        <v>0</v>
      </c>
      <c r="I9" s="104">
        <f t="shared" si="0"/>
        <v>0</v>
      </c>
      <c r="J9" s="105">
        <f t="shared" si="0"/>
        <v>0</v>
      </c>
      <c r="K9" s="104">
        <f t="shared" si="0"/>
        <v>0</v>
      </c>
      <c r="L9" s="105">
        <f t="shared" si="0"/>
        <v>0</v>
      </c>
      <c r="M9" s="104">
        <f t="shared" si="0"/>
        <v>0</v>
      </c>
      <c r="N9" s="105">
        <f t="shared" si="0"/>
        <v>0</v>
      </c>
      <c r="O9" s="104">
        <f t="shared" si="0"/>
        <v>0</v>
      </c>
      <c r="P9" s="105">
        <f t="shared" si="0"/>
        <v>6</v>
      </c>
      <c r="Q9" s="104">
        <f t="shared" si="0"/>
        <v>60</v>
      </c>
    </row>
    <row r="10" spans="2:20" outlineLevel="1">
      <c r="E10" s="3" t="str">
        <f>PlayerPool!B3</f>
        <v>Sachin Tendulkar</v>
      </c>
      <c r="F10" s="36"/>
      <c r="G10" s="103">
        <f t="shared" ref="G10:O10" si="1">F10*$C$3</f>
        <v>0</v>
      </c>
      <c r="H10" s="36"/>
      <c r="I10" s="103">
        <f t="shared" si="1"/>
        <v>0</v>
      </c>
      <c r="J10" s="36"/>
      <c r="K10" s="103">
        <f t="shared" si="1"/>
        <v>0</v>
      </c>
      <c r="L10" s="36"/>
      <c r="M10" s="103">
        <f t="shared" si="1"/>
        <v>0</v>
      </c>
      <c r="N10" s="36"/>
      <c r="O10" s="103">
        <f t="shared" si="1"/>
        <v>0</v>
      </c>
      <c r="P10" s="103">
        <f>SUM(F10,H10,J10,L10,N10)</f>
        <v>0</v>
      </c>
      <c r="Q10" s="103">
        <f>SUM(G10,I10,K10,M10,O10)</f>
        <v>0</v>
      </c>
      <c r="S10" s="2"/>
      <c r="T10" s="2"/>
    </row>
    <row r="11" spans="2:20" outlineLevel="1">
      <c r="E11" s="3" t="str">
        <f>PlayerPool!B4</f>
        <v>Virender Sehwag</v>
      </c>
      <c r="F11" s="36"/>
      <c r="G11" s="103">
        <f t="shared" ref="G11:G74" si="2">F11*$C$3</f>
        <v>0</v>
      </c>
      <c r="H11" s="36"/>
      <c r="I11" s="103">
        <f t="shared" ref="I11:I74" si="3">H11*$C$3</f>
        <v>0</v>
      </c>
      <c r="J11" s="36"/>
      <c r="K11" s="103">
        <f t="shared" ref="K11:K74" si="4">J11*$C$3</f>
        <v>0</v>
      </c>
      <c r="L11" s="36"/>
      <c r="M11" s="103">
        <f t="shared" ref="M11:M74" si="5">L11*$C$3</f>
        <v>0</v>
      </c>
      <c r="N11" s="36"/>
      <c r="O11" s="103">
        <f t="shared" ref="O11:O74" si="6">N11*$C$3</f>
        <v>0</v>
      </c>
      <c r="P11" s="103">
        <f t="shared" ref="P11:P74" si="7">SUM(F11,H11,J11,L11,N11)</f>
        <v>0</v>
      </c>
      <c r="Q11" s="103">
        <f t="shared" ref="Q11:Q74" si="8">SUM(G11,I11,K11,M11,O11)</f>
        <v>0</v>
      </c>
      <c r="S11" s="2"/>
      <c r="T11" s="2"/>
    </row>
    <row r="12" spans="2:20" outlineLevel="1">
      <c r="E12" s="3" t="str">
        <f>PlayerPool!B5</f>
        <v>Gautam Gambhir</v>
      </c>
      <c r="F12" s="36"/>
      <c r="G12" s="103">
        <f t="shared" si="2"/>
        <v>0</v>
      </c>
      <c r="H12" s="36"/>
      <c r="I12" s="103">
        <f t="shared" si="3"/>
        <v>0</v>
      </c>
      <c r="J12" s="36"/>
      <c r="K12" s="103">
        <f t="shared" si="4"/>
        <v>0</v>
      </c>
      <c r="L12" s="36"/>
      <c r="M12" s="103">
        <f t="shared" si="5"/>
        <v>0</v>
      </c>
      <c r="N12" s="36"/>
      <c r="O12" s="103">
        <f t="shared" si="6"/>
        <v>0</v>
      </c>
      <c r="P12" s="103">
        <f t="shared" si="7"/>
        <v>0</v>
      </c>
      <c r="Q12" s="103">
        <f t="shared" si="8"/>
        <v>0</v>
      </c>
      <c r="S12" s="2"/>
      <c r="T12" s="2"/>
    </row>
    <row r="13" spans="2:20" outlineLevel="1">
      <c r="E13" s="3" t="str">
        <f>PlayerPool!B6</f>
        <v>Viraat Kohli</v>
      </c>
      <c r="F13" s="36">
        <v>1</v>
      </c>
      <c r="G13" s="103">
        <f t="shared" si="2"/>
        <v>10</v>
      </c>
      <c r="H13" s="36"/>
      <c r="I13" s="103">
        <f t="shared" si="3"/>
        <v>0</v>
      </c>
      <c r="J13" s="36"/>
      <c r="K13" s="103">
        <f t="shared" si="4"/>
        <v>0</v>
      </c>
      <c r="L13" s="36"/>
      <c r="M13" s="103">
        <f t="shared" si="5"/>
        <v>0</v>
      </c>
      <c r="N13" s="36"/>
      <c r="O13" s="103">
        <f t="shared" si="6"/>
        <v>0</v>
      </c>
      <c r="P13" s="103">
        <f t="shared" si="7"/>
        <v>1</v>
      </c>
      <c r="Q13" s="103">
        <f t="shared" si="8"/>
        <v>10</v>
      </c>
      <c r="S13" s="2"/>
      <c r="T13" s="2"/>
    </row>
    <row r="14" spans="2:20" outlineLevel="1">
      <c r="E14" s="3" t="str">
        <f>PlayerPool!B7</f>
        <v>Yuvraj Singh</v>
      </c>
      <c r="F14" s="36">
        <v>1</v>
      </c>
      <c r="G14" s="103">
        <f t="shared" si="2"/>
        <v>10</v>
      </c>
      <c r="H14" s="36"/>
      <c r="I14" s="103">
        <f t="shared" si="3"/>
        <v>0</v>
      </c>
      <c r="J14" s="36"/>
      <c r="K14" s="103">
        <f t="shared" si="4"/>
        <v>0</v>
      </c>
      <c r="L14" s="36"/>
      <c r="M14" s="103">
        <f t="shared" si="5"/>
        <v>0</v>
      </c>
      <c r="N14" s="36"/>
      <c r="O14" s="103">
        <f t="shared" si="6"/>
        <v>0</v>
      </c>
      <c r="P14" s="103">
        <f t="shared" si="7"/>
        <v>1</v>
      </c>
      <c r="Q14" s="103">
        <f t="shared" si="8"/>
        <v>10</v>
      </c>
      <c r="S14" s="2"/>
      <c r="T14" s="2"/>
    </row>
    <row r="15" spans="2:20" outlineLevel="1">
      <c r="E15" s="3" t="str">
        <f>PlayerPool!B8</f>
        <v>Suresh Raina</v>
      </c>
      <c r="F15" s="36">
        <v>1</v>
      </c>
      <c r="G15" s="103">
        <f t="shared" si="2"/>
        <v>10</v>
      </c>
      <c r="H15" s="36"/>
      <c r="I15" s="103">
        <f t="shared" si="3"/>
        <v>0</v>
      </c>
      <c r="J15" s="36"/>
      <c r="K15" s="103">
        <f t="shared" si="4"/>
        <v>0</v>
      </c>
      <c r="L15" s="36"/>
      <c r="M15" s="103">
        <f t="shared" si="5"/>
        <v>0</v>
      </c>
      <c r="N15" s="36"/>
      <c r="O15" s="103">
        <f t="shared" si="6"/>
        <v>0</v>
      </c>
      <c r="P15" s="103">
        <f t="shared" si="7"/>
        <v>1</v>
      </c>
      <c r="Q15" s="103">
        <f t="shared" si="8"/>
        <v>10</v>
      </c>
      <c r="S15" s="2"/>
      <c r="T15" s="2"/>
    </row>
    <row r="16" spans="2:20" outlineLevel="1">
      <c r="E16" s="3" t="str">
        <f>PlayerPool!B9</f>
        <v>MS Dhoni</v>
      </c>
      <c r="F16" s="36">
        <v>2</v>
      </c>
      <c r="G16" s="103">
        <f t="shared" si="2"/>
        <v>20</v>
      </c>
      <c r="H16" s="36"/>
      <c r="I16" s="103">
        <f t="shared" si="3"/>
        <v>0</v>
      </c>
      <c r="J16" s="36"/>
      <c r="K16" s="103">
        <f t="shared" si="4"/>
        <v>0</v>
      </c>
      <c r="L16" s="36"/>
      <c r="M16" s="103">
        <f t="shared" si="5"/>
        <v>0</v>
      </c>
      <c r="N16" s="36"/>
      <c r="O16" s="103">
        <f t="shared" si="6"/>
        <v>0</v>
      </c>
      <c r="P16" s="103">
        <f t="shared" si="7"/>
        <v>2</v>
      </c>
      <c r="Q16" s="103">
        <f t="shared" si="8"/>
        <v>20</v>
      </c>
      <c r="S16" s="2"/>
      <c r="T16" s="2"/>
    </row>
    <row r="17" spans="4:20" outlineLevel="1">
      <c r="E17" s="3" t="str">
        <f>PlayerPool!B10</f>
        <v>Yousuf Pathan</v>
      </c>
      <c r="F17" s="36"/>
      <c r="G17" s="103">
        <f t="shared" si="2"/>
        <v>0</v>
      </c>
      <c r="H17" s="36"/>
      <c r="I17" s="103">
        <f t="shared" si="3"/>
        <v>0</v>
      </c>
      <c r="J17" s="36"/>
      <c r="K17" s="103">
        <f t="shared" si="4"/>
        <v>0</v>
      </c>
      <c r="L17" s="36"/>
      <c r="M17" s="103">
        <f t="shared" si="5"/>
        <v>0</v>
      </c>
      <c r="N17" s="36"/>
      <c r="O17" s="103">
        <f t="shared" si="6"/>
        <v>0</v>
      </c>
      <c r="P17" s="103">
        <f t="shared" si="7"/>
        <v>0</v>
      </c>
      <c r="Q17" s="103">
        <f t="shared" si="8"/>
        <v>0</v>
      </c>
      <c r="S17" s="2"/>
      <c r="T17" s="2"/>
    </row>
    <row r="18" spans="4:20" outlineLevel="1">
      <c r="E18" s="3" t="str">
        <f>PlayerPool!B11</f>
        <v>Munaf Patel</v>
      </c>
      <c r="F18" s="36">
        <v>1</v>
      </c>
      <c r="G18" s="103">
        <f t="shared" si="2"/>
        <v>10</v>
      </c>
      <c r="H18" s="36"/>
      <c r="I18" s="103">
        <f t="shared" si="3"/>
        <v>0</v>
      </c>
      <c r="J18" s="36"/>
      <c r="K18" s="103">
        <f t="shared" si="4"/>
        <v>0</v>
      </c>
      <c r="L18" s="36"/>
      <c r="M18" s="103">
        <f t="shared" si="5"/>
        <v>0</v>
      </c>
      <c r="N18" s="36"/>
      <c r="O18" s="103">
        <f t="shared" si="6"/>
        <v>0</v>
      </c>
      <c r="P18" s="103">
        <f t="shared" si="7"/>
        <v>1</v>
      </c>
      <c r="Q18" s="103">
        <f t="shared" si="8"/>
        <v>10</v>
      </c>
      <c r="S18" s="2"/>
      <c r="T18" s="2"/>
    </row>
    <row r="19" spans="4:20" outlineLevel="1">
      <c r="E19" s="3" t="str">
        <f>PlayerPool!B12</f>
        <v>Piyush Chawla</v>
      </c>
      <c r="F19" s="36"/>
      <c r="G19" s="103">
        <f t="shared" si="2"/>
        <v>0</v>
      </c>
      <c r="H19" s="36"/>
      <c r="I19" s="103">
        <f t="shared" si="3"/>
        <v>0</v>
      </c>
      <c r="J19" s="36"/>
      <c r="K19" s="103">
        <f t="shared" si="4"/>
        <v>0</v>
      </c>
      <c r="L19" s="36"/>
      <c r="M19" s="103">
        <f t="shared" si="5"/>
        <v>0</v>
      </c>
      <c r="N19" s="36"/>
      <c r="O19" s="103">
        <f t="shared" si="6"/>
        <v>0</v>
      </c>
      <c r="P19" s="103">
        <f t="shared" si="7"/>
        <v>0</v>
      </c>
      <c r="Q19" s="103">
        <f t="shared" si="8"/>
        <v>0</v>
      </c>
      <c r="S19" s="2"/>
      <c r="T19" s="2"/>
    </row>
    <row r="20" spans="4:20" outlineLevel="1">
      <c r="E20" s="3" t="str">
        <f>PlayerPool!B13</f>
        <v>Ashish Nehra</v>
      </c>
      <c r="F20" s="36"/>
      <c r="G20" s="103">
        <f t="shared" si="2"/>
        <v>0</v>
      </c>
      <c r="H20" s="36"/>
      <c r="I20" s="103">
        <f t="shared" si="3"/>
        <v>0</v>
      </c>
      <c r="J20" s="36"/>
      <c r="K20" s="103">
        <f t="shared" si="4"/>
        <v>0</v>
      </c>
      <c r="L20" s="36"/>
      <c r="M20" s="103">
        <f t="shared" si="5"/>
        <v>0</v>
      </c>
      <c r="N20" s="36"/>
      <c r="O20" s="103">
        <f t="shared" si="6"/>
        <v>0</v>
      </c>
      <c r="P20" s="103">
        <f t="shared" si="7"/>
        <v>0</v>
      </c>
      <c r="Q20" s="103">
        <f t="shared" si="8"/>
        <v>0</v>
      </c>
      <c r="S20" s="2"/>
      <c r="T20" s="2"/>
    </row>
    <row r="21" spans="4:20" outlineLevel="1">
      <c r="E21" s="3" t="str">
        <f>PlayerPool!B14</f>
        <v>Harbhajan Singh</v>
      </c>
      <c r="F21" s="36"/>
      <c r="G21" s="103">
        <f t="shared" si="2"/>
        <v>0</v>
      </c>
      <c r="H21" s="36"/>
      <c r="I21" s="103">
        <f t="shared" si="3"/>
        <v>0</v>
      </c>
      <c r="J21" s="36"/>
      <c r="K21" s="103">
        <f t="shared" si="4"/>
        <v>0</v>
      </c>
      <c r="L21" s="36"/>
      <c r="M21" s="103">
        <f t="shared" si="5"/>
        <v>0</v>
      </c>
      <c r="N21" s="36"/>
      <c r="O21" s="103">
        <f t="shared" si="6"/>
        <v>0</v>
      </c>
      <c r="P21" s="103">
        <f t="shared" si="7"/>
        <v>0</v>
      </c>
      <c r="Q21" s="103">
        <f t="shared" si="8"/>
        <v>0</v>
      </c>
      <c r="S21" s="2"/>
      <c r="T21" s="2"/>
    </row>
    <row r="22" spans="4:20" outlineLevel="1">
      <c r="E22" s="3" t="str">
        <f>PlayerPool!B15</f>
        <v>Zaheer Khan</v>
      </c>
      <c r="F22" s="36"/>
      <c r="G22" s="103">
        <f t="shared" si="2"/>
        <v>0</v>
      </c>
      <c r="H22" s="36"/>
      <c r="I22" s="103">
        <f t="shared" si="3"/>
        <v>0</v>
      </c>
      <c r="J22" s="36"/>
      <c r="K22" s="103">
        <f t="shared" si="4"/>
        <v>0</v>
      </c>
      <c r="L22" s="36"/>
      <c r="M22" s="103">
        <f t="shared" si="5"/>
        <v>0</v>
      </c>
      <c r="N22" s="36"/>
      <c r="O22" s="103">
        <f t="shared" si="6"/>
        <v>0</v>
      </c>
      <c r="P22" s="103">
        <f t="shared" si="7"/>
        <v>0</v>
      </c>
      <c r="Q22" s="103">
        <f t="shared" si="8"/>
        <v>0</v>
      </c>
      <c r="S22" s="2"/>
      <c r="T22" s="2"/>
    </row>
    <row r="23" spans="4:20" outlineLevel="1">
      <c r="E23" s="3" t="str">
        <f>PlayerPool!B16</f>
        <v xml:space="preserve">Sreesanth </v>
      </c>
      <c r="F23" s="36"/>
      <c r="G23" s="103">
        <f t="shared" si="2"/>
        <v>0</v>
      </c>
      <c r="H23" s="36"/>
      <c r="I23" s="103">
        <f t="shared" si="3"/>
        <v>0</v>
      </c>
      <c r="J23" s="36"/>
      <c r="K23" s="103">
        <f t="shared" si="4"/>
        <v>0</v>
      </c>
      <c r="L23" s="36"/>
      <c r="M23" s="103">
        <f t="shared" si="5"/>
        <v>0</v>
      </c>
      <c r="N23" s="36"/>
      <c r="O23" s="103">
        <f t="shared" si="6"/>
        <v>0</v>
      </c>
      <c r="P23" s="103">
        <f t="shared" si="7"/>
        <v>0</v>
      </c>
      <c r="Q23" s="103">
        <f t="shared" si="8"/>
        <v>0</v>
      </c>
      <c r="S23" s="2"/>
      <c r="T23" s="2"/>
    </row>
    <row r="24" spans="4:20" outlineLevel="1">
      <c r="E24" s="3" t="str">
        <f>PlayerPool!B17</f>
        <v>R Ashwin</v>
      </c>
      <c r="F24" s="36"/>
      <c r="G24" s="103">
        <f t="shared" si="2"/>
        <v>0</v>
      </c>
      <c r="H24" s="36"/>
      <c r="I24" s="103">
        <f t="shared" si="3"/>
        <v>0</v>
      </c>
      <c r="J24" s="36"/>
      <c r="K24" s="103">
        <f t="shared" si="4"/>
        <v>0</v>
      </c>
      <c r="L24" s="36"/>
      <c r="M24" s="103">
        <f t="shared" si="5"/>
        <v>0</v>
      </c>
      <c r="N24" s="36"/>
      <c r="O24" s="103">
        <f t="shared" si="6"/>
        <v>0</v>
      </c>
      <c r="P24" s="103">
        <f t="shared" si="7"/>
        <v>0</v>
      </c>
      <c r="Q24" s="103">
        <f t="shared" si="8"/>
        <v>0</v>
      </c>
      <c r="S24" s="2"/>
      <c r="T24" s="2"/>
    </row>
    <row r="25" spans="4:20">
      <c r="D25" s="5" t="s">
        <v>1</v>
      </c>
      <c r="F25" s="105">
        <f>SUM(F26:F40)</f>
        <v>0</v>
      </c>
      <c r="G25" s="104">
        <f t="shared" ref="G25:Q25" si="9">SUM(G26:G40)</f>
        <v>0</v>
      </c>
      <c r="H25" s="105">
        <f t="shared" si="9"/>
        <v>0</v>
      </c>
      <c r="I25" s="104">
        <f t="shared" si="9"/>
        <v>0</v>
      </c>
      <c r="J25" s="105">
        <f t="shared" si="9"/>
        <v>0</v>
      </c>
      <c r="K25" s="104">
        <f t="shared" si="9"/>
        <v>0</v>
      </c>
      <c r="L25" s="105">
        <f t="shared" si="9"/>
        <v>0</v>
      </c>
      <c r="M25" s="104">
        <f t="shared" si="9"/>
        <v>0</v>
      </c>
      <c r="N25" s="105">
        <f t="shared" si="9"/>
        <v>0</v>
      </c>
      <c r="O25" s="104">
        <f t="shared" si="9"/>
        <v>0</v>
      </c>
      <c r="P25" s="105">
        <f t="shared" si="9"/>
        <v>0</v>
      </c>
      <c r="Q25" s="104">
        <f t="shared" si="9"/>
        <v>0</v>
      </c>
      <c r="S25" s="2"/>
      <c r="T25" s="2"/>
    </row>
    <row r="26" spans="4:20" hidden="1" outlineLevel="1">
      <c r="E26" s="3" t="str">
        <f>PlayerPool!B18</f>
        <v>H Amla</v>
      </c>
      <c r="F26" s="36"/>
      <c r="G26" s="103">
        <f t="shared" si="2"/>
        <v>0</v>
      </c>
      <c r="H26" s="36"/>
      <c r="I26" s="103">
        <f t="shared" si="3"/>
        <v>0</v>
      </c>
      <c r="J26" s="36"/>
      <c r="K26" s="103">
        <f t="shared" si="4"/>
        <v>0</v>
      </c>
      <c r="L26" s="36"/>
      <c r="M26" s="103">
        <f t="shared" si="5"/>
        <v>0</v>
      </c>
      <c r="N26" s="36"/>
      <c r="O26" s="103">
        <f t="shared" si="6"/>
        <v>0</v>
      </c>
      <c r="P26" s="103">
        <f t="shared" si="7"/>
        <v>0</v>
      </c>
      <c r="Q26" s="103">
        <f t="shared" si="8"/>
        <v>0</v>
      </c>
      <c r="S26" s="2"/>
      <c r="T26" s="2"/>
    </row>
    <row r="27" spans="4:20" hidden="1" outlineLevel="1">
      <c r="E27" s="3" t="str">
        <f>PlayerPool!B19</f>
        <v>G Smith</v>
      </c>
      <c r="F27" s="36"/>
      <c r="G27" s="103">
        <f t="shared" si="2"/>
        <v>0</v>
      </c>
      <c r="H27" s="36"/>
      <c r="I27" s="103">
        <f t="shared" si="3"/>
        <v>0</v>
      </c>
      <c r="J27" s="36"/>
      <c r="K27" s="103">
        <f t="shared" si="4"/>
        <v>0</v>
      </c>
      <c r="L27" s="36"/>
      <c r="M27" s="103">
        <f t="shared" si="5"/>
        <v>0</v>
      </c>
      <c r="N27" s="36"/>
      <c r="O27" s="103">
        <f t="shared" si="6"/>
        <v>0</v>
      </c>
      <c r="P27" s="103">
        <f t="shared" si="7"/>
        <v>0</v>
      </c>
      <c r="Q27" s="103">
        <f t="shared" si="8"/>
        <v>0</v>
      </c>
      <c r="S27" s="2"/>
      <c r="T27" s="2"/>
    </row>
    <row r="28" spans="4:20" hidden="1" outlineLevel="1">
      <c r="E28" s="3" t="str">
        <f>PlayerPool!B20</f>
        <v>J Kallis</v>
      </c>
      <c r="F28" s="36"/>
      <c r="G28" s="103">
        <f t="shared" si="2"/>
        <v>0</v>
      </c>
      <c r="H28" s="36"/>
      <c r="I28" s="103">
        <f t="shared" si="3"/>
        <v>0</v>
      </c>
      <c r="J28" s="36"/>
      <c r="K28" s="103">
        <f t="shared" si="4"/>
        <v>0</v>
      </c>
      <c r="L28" s="36"/>
      <c r="M28" s="103">
        <f t="shared" si="5"/>
        <v>0</v>
      </c>
      <c r="N28" s="36"/>
      <c r="O28" s="103">
        <f t="shared" si="6"/>
        <v>0</v>
      </c>
      <c r="P28" s="103">
        <f t="shared" si="7"/>
        <v>0</v>
      </c>
      <c r="Q28" s="103">
        <f t="shared" si="8"/>
        <v>0</v>
      </c>
      <c r="S28" s="2"/>
      <c r="T28" s="2"/>
    </row>
    <row r="29" spans="4:20" hidden="1" outlineLevel="1">
      <c r="E29" s="3" t="str">
        <f>PlayerPool!B21</f>
        <v>AB De Villiers</v>
      </c>
      <c r="F29" s="36"/>
      <c r="G29" s="103">
        <f t="shared" si="2"/>
        <v>0</v>
      </c>
      <c r="H29" s="36"/>
      <c r="I29" s="103">
        <f t="shared" si="3"/>
        <v>0</v>
      </c>
      <c r="J29" s="36"/>
      <c r="K29" s="103">
        <f t="shared" si="4"/>
        <v>0</v>
      </c>
      <c r="L29" s="36"/>
      <c r="M29" s="103">
        <f t="shared" si="5"/>
        <v>0</v>
      </c>
      <c r="N29" s="36"/>
      <c r="O29" s="103">
        <f t="shared" si="6"/>
        <v>0</v>
      </c>
      <c r="P29" s="103">
        <f t="shared" si="7"/>
        <v>0</v>
      </c>
      <c r="Q29" s="103">
        <f t="shared" si="8"/>
        <v>0</v>
      </c>
      <c r="S29" s="2"/>
      <c r="T29" s="2"/>
    </row>
    <row r="30" spans="4:20" hidden="1" outlineLevel="1">
      <c r="E30" s="3" t="str">
        <f>PlayerPool!B22</f>
        <v>Faf du plessis</v>
      </c>
      <c r="F30" s="36"/>
      <c r="G30" s="103">
        <f t="shared" si="2"/>
        <v>0</v>
      </c>
      <c r="H30" s="36"/>
      <c r="I30" s="103">
        <f t="shared" si="3"/>
        <v>0</v>
      </c>
      <c r="J30" s="36"/>
      <c r="K30" s="103">
        <f t="shared" si="4"/>
        <v>0</v>
      </c>
      <c r="L30" s="36"/>
      <c r="M30" s="103">
        <f t="shared" si="5"/>
        <v>0</v>
      </c>
      <c r="N30" s="36"/>
      <c r="O30" s="103">
        <f t="shared" si="6"/>
        <v>0</v>
      </c>
      <c r="P30" s="103">
        <f t="shared" si="7"/>
        <v>0</v>
      </c>
      <c r="Q30" s="103">
        <f t="shared" si="8"/>
        <v>0</v>
      </c>
      <c r="S30" s="2"/>
      <c r="T30" s="2"/>
    </row>
    <row r="31" spans="4:20" hidden="1" outlineLevel="1">
      <c r="E31" s="3" t="str">
        <f>PlayerPool!B23</f>
        <v>Imran Tahir</v>
      </c>
      <c r="F31" s="36"/>
      <c r="G31" s="103">
        <f t="shared" si="2"/>
        <v>0</v>
      </c>
      <c r="H31" s="36"/>
      <c r="I31" s="103">
        <f t="shared" si="3"/>
        <v>0</v>
      </c>
      <c r="J31" s="36"/>
      <c r="K31" s="103">
        <f t="shared" si="4"/>
        <v>0</v>
      </c>
      <c r="L31" s="36"/>
      <c r="M31" s="103">
        <f t="shared" si="5"/>
        <v>0</v>
      </c>
      <c r="N31" s="36"/>
      <c r="O31" s="103">
        <f t="shared" si="6"/>
        <v>0</v>
      </c>
      <c r="P31" s="103">
        <f t="shared" si="7"/>
        <v>0</v>
      </c>
      <c r="Q31" s="103">
        <f t="shared" si="8"/>
        <v>0</v>
      </c>
      <c r="S31" s="2"/>
      <c r="T31" s="2"/>
    </row>
    <row r="32" spans="4:20" hidden="1" outlineLevel="1">
      <c r="E32" s="3" t="str">
        <f>PlayerPool!B24</f>
        <v>Colin Ingram</v>
      </c>
      <c r="F32" s="36"/>
      <c r="G32" s="103">
        <f t="shared" si="2"/>
        <v>0</v>
      </c>
      <c r="H32" s="36"/>
      <c r="I32" s="103">
        <f t="shared" si="3"/>
        <v>0</v>
      </c>
      <c r="J32" s="36"/>
      <c r="K32" s="103">
        <f t="shared" si="4"/>
        <v>0</v>
      </c>
      <c r="L32" s="36"/>
      <c r="M32" s="103">
        <f t="shared" si="5"/>
        <v>0</v>
      </c>
      <c r="N32" s="36"/>
      <c r="O32" s="103">
        <f t="shared" si="6"/>
        <v>0</v>
      </c>
      <c r="P32" s="103">
        <f t="shared" si="7"/>
        <v>0</v>
      </c>
      <c r="Q32" s="103">
        <f t="shared" si="8"/>
        <v>0</v>
      </c>
      <c r="S32" s="2"/>
      <c r="T32" s="2"/>
    </row>
    <row r="33" spans="4:20" hidden="1" outlineLevel="1">
      <c r="E33" s="3" t="str">
        <f>PlayerPool!B25</f>
        <v>JP Duminy</v>
      </c>
      <c r="F33" s="36"/>
      <c r="G33" s="103">
        <f t="shared" si="2"/>
        <v>0</v>
      </c>
      <c r="H33" s="36"/>
      <c r="I33" s="103">
        <f t="shared" si="3"/>
        <v>0</v>
      </c>
      <c r="J33" s="36"/>
      <c r="K33" s="103">
        <f t="shared" si="4"/>
        <v>0</v>
      </c>
      <c r="L33" s="36"/>
      <c r="M33" s="103">
        <f t="shared" si="5"/>
        <v>0</v>
      </c>
      <c r="N33" s="36"/>
      <c r="O33" s="103">
        <f t="shared" si="6"/>
        <v>0</v>
      </c>
      <c r="P33" s="103">
        <f t="shared" si="7"/>
        <v>0</v>
      </c>
      <c r="Q33" s="103">
        <f t="shared" si="8"/>
        <v>0</v>
      </c>
      <c r="S33" s="2"/>
      <c r="T33" s="2"/>
    </row>
    <row r="34" spans="4:20" hidden="1" outlineLevel="1">
      <c r="E34" s="3" t="str">
        <f>PlayerPool!B26</f>
        <v>R Peterson</v>
      </c>
      <c r="F34" s="36"/>
      <c r="G34" s="103">
        <f t="shared" si="2"/>
        <v>0</v>
      </c>
      <c r="H34" s="36"/>
      <c r="I34" s="103">
        <f t="shared" si="3"/>
        <v>0</v>
      </c>
      <c r="J34" s="36"/>
      <c r="K34" s="103">
        <f t="shared" si="4"/>
        <v>0</v>
      </c>
      <c r="L34" s="36"/>
      <c r="M34" s="103">
        <f t="shared" si="5"/>
        <v>0</v>
      </c>
      <c r="N34" s="36"/>
      <c r="O34" s="103">
        <f t="shared" si="6"/>
        <v>0</v>
      </c>
      <c r="P34" s="103">
        <f t="shared" si="7"/>
        <v>0</v>
      </c>
      <c r="Q34" s="103">
        <f t="shared" si="8"/>
        <v>0</v>
      </c>
      <c r="S34" s="2"/>
      <c r="T34" s="2"/>
    </row>
    <row r="35" spans="4:20" hidden="1" outlineLevel="1">
      <c r="E35" s="3" t="str">
        <f>PlayerPool!B27</f>
        <v>T Tsotsobe</v>
      </c>
      <c r="F35" s="36"/>
      <c r="G35" s="103">
        <f t="shared" si="2"/>
        <v>0</v>
      </c>
      <c r="H35" s="36"/>
      <c r="I35" s="103">
        <f t="shared" si="3"/>
        <v>0</v>
      </c>
      <c r="J35" s="36"/>
      <c r="K35" s="103">
        <f t="shared" si="4"/>
        <v>0</v>
      </c>
      <c r="L35" s="36"/>
      <c r="M35" s="103">
        <f t="shared" si="5"/>
        <v>0</v>
      </c>
      <c r="N35" s="36"/>
      <c r="O35" s="103">
        <f t="shared" si="6"/>
        <v>0</v>
      </c>
      <c r="P35" s="103">
        <f t="shared" si="7"/>
        <v>0</v>
      </c>
      <c r="Q35" s="103">
        <f t="shared" si="8"/>
        <v>0</v>
      </c>
      <c r="S35" s="2"/>
      <c r="T35" s="2"/>
    </row>
    <row r="36" spans="4:20" hidden="1" outlineLevel="1">
      <c r="E36" s="3" t="str">
        <f>PlayerPool!B28</f>
        <v>Morne Van Wyk</v>
      </c>
      <c r="F36" s="36"/>
      <c r="G36" s="103">
        <f t="shared" si="2"/>
        <v>0</v>
      </c>
      <c r="H36" s="36"/>
      <c r="I36" s="103">
        <f t="shared" si="3"/>
        <v>0</v>
      </c>
      <c r="J36" s="36"/>
      <c r="K36" s="103">
        <f t="shared" si="4"/>
        <v>0</v>
      </c>
      <c r="L36" s="36"/>
      <c r="M36" s="103">
        <f t="shared" si="5"/>
        <v>0</v>
      </c>
      <c r="N36" s="36"/>
      <c r="O36" s="103">
        <f t="shared" si="6"/>
        <v>0</v>
      </c>
      <c r="P36" s="103">
        <f t="shared" si="7"/>
        <v>0</v>
      </c>
      <c r="Q36" s="103">
        <f t="shared" si="8"/>
        <v>0</v>
      </c>
      <c r="S36" s="2"/>
      <c r="T36" s="2"/>
    </row>
    <row r="37" spans="4:20" hidden="1" outlineLevel="1">
      <c r="E37" s="3" t="str">
        <f>PlayerPool!B29</f>
        <v>J Botha</v>
      </c>
      <c r="F37" s="36"/>
      <c r="G37" s="103">
        <f t="shared" si="2"/>
        <v>0</v>
      </c>
      <c r="H37" s="36"/>
      <c r="I37" s="103">
        <f t="shared" si="3"/>
        <v>0</v>
      </c>
      <c r="J37" s="36"/>
      <c r="K37" s="103">
        <f t="shared" si="4"/>
        <v>0</v>
      </c>
      <c r="L37" s="36"/>
      <c r="M37" s="103">
        <f t="shared" si="5"/>
        <v>0</v>
      </c>
      <c r="N37" s="36"/>
      <c r="O37" s="103">
        <f t="shared" si="6"/>
        <v>0</v>
      </c>
      <c r="P37" s="103">
        <f t="shared" si="7"/>
        <v>0</v>
      </c>
      <c r="Q37" s="103">
        <f t="shared" si="8"/>
        <v>0</v>
      </c>
      <c r="S37" s="2"/>
      <c r="T37" s="2"/>
    </row>
    <row r="38" spans="4:20" hidden="1" outlineLevel="1">
      <c r="E38" s="3" t="str">
        <f>PlayerPool!B30</f>
        <v>Dale Steyn</v>
      </c>
      <c r="F38" s="36"/>
      <c r="G38" s="103">
        <f t="shared" si="2"/>
        <v>0</v>
      </c>
      <c r="H38" s="36"/>
      <c r="I38" s="103">
        <f t="shared" si="3"/>
        <v>0</v>
      </c>
      <c r="J38" s="36"/>
      <c r="K38" s="103">
        <f t="shared" si="4"/>
        <v>0</v>
      </c>
      <c r="L38" s="36"/>
      <c r="M38" s="103">
        <f t="shared" si="5"/>
        <v>0</v>
      </c>
      <c r="N38" s="36"/>
      <c r="O38" s="103">
        <f t="shared" si="6"/>
        <v>0</v>
      </c>
      <c r="P38" s="103">
        <f t="shared" si="7"/>
        <v>0</v>
      </c>
      <c r="Q38" s="103">
        <f t="shared" si="8"/>
        <v>0</v>
      </c>
      <c r="S38" s="2"/>
      <c r="T38" s="2"/>
    </row>
    <row r="39" spans="4:20" hidden="1" outlineLevel="1">
      <c r="E39" s="3" t="str">
        <f>PlayerPool!B31</f>
        <v>Morne Morkel</v>
      </c>
      <c r="F39" s="36"/>
      <c r="G39" s="103">
        <f t="shared" si="2"/>
        <v>0</v>
      </c>
      <c r="H39" s="36"/>
      <c r="I39" s="103">
        <f t="shared" si="3"/>
        <v>0</v>
      </c>
      <c r="J39" s="36"/>
      <c r="K39" s="103">
        <f t="shared" si="4"/>
        <v>0</v>
      </c>
      <c r="L39" s="36"/>
      <c r="M39" s="103">
        <f t="shared" si="5"/>
        <v>0</v>
      </c>
      <c r="N39" s="36"/>
      <c r="O39" s="103">
        <f t="shared" si="6"/>
        <v>0</v>
      </c>
      <c r="P39" s="103">
        <f t="shared" si="7"/>
        <v>0</v>
      </c>
      <c r="Q39" s="103">
        <f t="shared" si="8"/>
        <v>0</v>
      </c>
      <c r="S39" s="2"/>
      <c r="T39" s="2"/>
    </row>
    <row r="40" spans="4:20" hidden="1" outlineLevel="1">
      <c r="E40" s="3" t="str">
        <f>PlayerPool!B32</f>
        <v>T Parnell</v>
      </c>
      <c r="F40" s="36"/>
      <c r="G40" s="103">
        <f t="shared" si="2"/>
        <v>0</v>
      </c>
      <c r="H40" s="36"/>
      <c r="I40" s="103">
        <f t="shared" si="3"/>
        <v>0</v>
      </c>
      <c r="J40" s="36"/>
      <c r="K40" s="103">
        <f t="shared" si="4"/>
        <v>0</v>
      </c>
      <c r="L40" s="36"/>
      <c r="M40" s="103">
        <f t="shared" si="5"/>
        <v>0</v>
      </c>
      <c r="N40" s="36"/>
      <c r="O40" s="103">
        <f t="shared" si="6"/>
        <v>0</v>
      </c>
      <c r="P40" s="103">
        <f t="shared" si="7"/>
        <v>0</v>
      </c>
      <c r="Q40" s="103">
        <f t="shared" si="8"/>
        <v>0</v>
      </c>
      <c r="S40" s="2"/>
      <c r="T40" s="2"/>
    </row>
    <row r="41" spans="4:20" collapsed="1">
      <c r="D41" s="5" t="s">
        <v>96</v>
      </c>
      <c r="F41" s="105">
        <f>SUM(F42:F56)</f>
        <v>0</v>
      </c>
      <c r="G41" s="104">
        <f t="shared" ref="G41:Q41" si="10">SUM(G42:G56)</f>
        <v>0</v>
      </c>
      <c r="H41" s="105">
        <f t="shared" si="10"/>
        <v>0</v>
      </c>
      <c r="I41" s="104">
        <f t="shared" si="10"/>
        <v>0</v>
      </c>
      <c r="J41" s="105">
        <f t="shared" si="10"/>
        <v>0</v>
      </c>
      <c r="K41" s="104">
        <f t="shared" si="10"/>
        <v>0</v>
      </c>
      <c r="L41" s="105">
        <f t="shared" si="10"/>
        <v>0</v>
      </c>
      <c r="M41" s="104">
        <f t="shared" si="10"/>
        <v>0</v>
      </c>
      <c r="N41" s="105">
        <f t="shared" si="10"/>
        <v>0</v>
      </c>
      <c r="O41" s="104">
        <f t="shared" si="10"/>
        <v>0</v>
      </c>
      <c r="P41" s="105">
        <f t="shared" si="10"/>
        <v>0</v>
      </c>
      <c r="Q41" s="104">
        <f t="shared" si="10"/>
        <v>0</v>
      </c>
      <c r="S41" s="2"/>
      <c r="T41" s="2"/>
    </row>
    <row r="42" spans="4:20" hidden="1" outlineLevel="1">
      <c r="E42" s="3" t="str">
        <f>PlayerPool!B33</f>
        <v>Ricky Ponting</v>
      </c>
      <c r="F42" s="36"/>
      <c r="G42" s="103">
        <f t="shared" si="2"/>
        <v>0</v>
      </c>
      <c r="H42" s="36"/>
      <c r="I42" s="103">
        <f t="shared" si="3"/>
        <v>0</v>
      </c>
      <c r="J42" s="36"/>
      <c r="K42" s="103">
        <f t="shared" si="4"/>
        <v>0</v>
      </c>
      <c r="L42" s="36"/>
      <c r="M42" s="103">
        <f t="shared" si="5"/>
        <v>0</v>
      </c>
      <c r="N42" s="36"/>
      <c r="O42" s="103">
        <f t="shared" si="6"/>
        <v>0</v>
      </c>
      <c r="P42" s="103">
        <f t="shared" si="7"/>
        <v>0</v>
      </c>
      <c r="Q42" s="103">
        <f t="shared" si="8"/>
        <v>0</v>
      </c>
      <c r="S42" s="2"/>
      <c r="T42" s="2"/>
    </row>
    <row r="43" spans="4:20" hidden="1" outlineLevel="1">
      <c r="E43" s="3" t="str">
        <f>PlayerPool!B34</f>
        <v>Michael Clarke</v>
      </c>
      <c r="F43" s="36"/>
      <c r="G43" s="103">
        <f t="shared" si="2"/>
        <v>0</v>
      </c>
      <c r="H43" s="36"/>
      <c r="I43" s="103">
        <f t="shared" si="3"/>
        <v>0</v>
      </c>
      <c r="J43" s="36"/>
      <c r="K43" s="103">
        <f t="shared" si="4"/>
        <v>0</v>
      </c>
      <c r="L43" s="36"/>
      <c r="M43" s="103">
        <f t="shared" si="5"/>
        <v>0</v>
      </c>
      <c r="N43" s="36"/>
      <c r="O43" s="103">
        <f t="shared" si="6"/>
        <v>0</v>
      </c>
      <c r="P43" s="103">
        <f t="shared" si="7"/>
        <v>0</v>
      </c>
      <c r="Q43" s="103">
        <f t="shared" si="8"/>
        <v>0</v>
      </c>
      <c r="S43" s="2"/>
      <c r="T43" s="2"/>
    </row>
    <row r="44" spans="4:20" hidden="1" outlineLevel="1">
      <c r="E44" s="3" t="str">
        <f>PlayerPool!B35</f>
        <v>Doug Bollinger</v>
      </c>
      <c r="F44" s="36"/>
      <c r="G44" s="103">
        <f t="shared" si="2"/>
        <v>0</v>
      </c>
      <c r="H44" s="36"/>
      <c r="I44" s="103">
        <f t="shared" si="3"/>
        <v>0</v>
      </c>
      <c r="J44" s="36"/>
      <c r="K44" s="103">
        <f t="shared" si="4"/>
        <v>0</v>
      </c>
      <c r="L44" s="36"/>
      <c r="M44" s="103">
        <f t="shared" si="5"/>
        <v>0</v>
      </c>
      <c r="N44" s="36"/>
      <c r="O44" s="103">
        <f t="shared" si="6"/>
        <v>0</v>
      </c>
      <c r="P44" s="103">
        <f t="shared" si="7"/>
        <v>0</v>
      </c>
      <c r="Q44" s="103">
        <f t="shared" si="8"/>
        <v>0</v>
      </c>
      <c r="S44" s="2"/>
      <c r="T44" s="2"/>
    </row>
    <row r="45" spans="4:20" hidden="1" outlineLevel="1">
      <c r="E45" s="3" t="str">
        <f>PlayerPool!B36</f>
        <v>Callum Ferguson</v>
      </c>
      <c r="F45" s="36"/>
      <c r="G45" s="103">
        <f t="shared" si="2"/>
        <v>0</v>
      </c>
      <c r="H45" s="36"/>
      <c r="I45" s="103">
        <f t="shared" si="3"/>
        <v>0</v>
      </c>
      <c r="J45" s="36"/>
      <c r="K45" s="103">
        <f t="shared" si="4"/>
        <v>0</v>
      </c>
      <c r="L45" s="36"/>
      <c r="M45" s="103">
        <f t="shared" si="5"/>
        <v>0</v>
      </c>
      <c r="N45" s="36"/>
      <c r="O45" s="103">
        <f t="shared" si="6"/>
        <v>0</v>
      </c>
      <c r="P45" s="103">
        <f t="shared" si="7"/>
        <v>0</v>
      </c>
      <c r="Q45" s="103">
        <f t="shared" si="8"/>
        <v>0</v>
      </c>
      <c r="S45" s="2"/>
      <c r="T45" s="2"/>
    </row>
    <row r="46" spans="4:20" hidden="1" outlineLevel="1">
      <c r="E46" s="3" t="str">
        <f>PlayerPool!B37</f>
        <v>Brad Haddin</v>
      </c>
      <c r="F46" s="36"/>
      <c r="G46" s="103">
        <f t="shared" si="2"/>
        <v>0</v>
      </c>
      <c r="H46" s="36"/>
      <c r="I46" s="103">
        <f t="shared" si="3"/>
        <v>0</v>
      </c>
      <c r="J46" s="36"/>
      <c r="K46" s="103">
        <f t="shared" si="4"/>
        <v>0</v>
      </c>
      <c r="L46" s="36"/>
      <c r="M46" s="103">
        <f t="shared" si="5"/>
        <v>0</v>
      </c>
      <c r="N46" s="36"/>
      <c r="O46" s="103">
        <f t="shared" si="6"/>
        <v>0</v>
      </c>
      <c r="P46" s="103">
        <f t="shared" si="7"/>
        <v>0</v>
      </c>
      <c r="Q46" s="103">
        <f t="shared" si="8"/>
        <v>0</v>
      </c>
      <c r="S46" s="2"/>
      <c r="T46" s="2"/>
    </row>
    <row r="47" spans="4:20" hidden="1" outlineLevel="1">
      <c r="E47" s="3" t="str">
        <f>PlayerPool!B38</f>
        <v>John Hastings</v>
      </c>
      <c r="F47" s="36"/>
      <c r="G47" s="103">
        <f t="shared" si="2"/>
        <v>0</v>
      </c>
      <c r="H47" s="36"/>
      <c r="I47" s="103">
        <f t="shared" si="3"/>
        <v>0</v>
      </c>
      <c r="J47" s="36"/>
      <c r="K47" s="103">
        <f t="shared" si="4"/>
        <v>0</v>
      </c>
      <c r="L47" s="36"/>
      <c r="M47" s="103">
        <f t="shared" si="5"/>
        <v>0</v>
      </c>
      <c r="N47" s="36"/>
      <c r="O47" s="103">
        <f t="shared" si="6"/>
        <v>0</v>
      </c>
      <c r="P47" s="103">
        <f t="shared" si="7"/>
        <v>0</v>
      </c>
      <c r="Q47" s="103">
        <f t="shared" si="8"/>
        <v>0</v>
      </c>
      <c r="S47" s="2"/>
      <c r="T47" s="2"/>
    </row>
    <row r="48" spans="4:20" hidden="1" outlineLevel="1">
      <c r="E48" s="3" t="str">
        <f>PlayerPool!B39</f>
        <v>David Hussey</v>
      </c>
      <c r="F48" s="36"/>
      <c r="G48" s="103">
        <f t="shared" si="2"/>
        <v>0</v>
      </c>
      <c r="H48" s="36"/>
      <c r="I48" s="103">
        <f t="shared" si="3"/>
        <v>0</v>
      </c>
      <c r="J48" s="36"/>
      <c r="K48" s="103">
        <f t="shared" si="4"/>
        <v>0</v>
      </c>
      <c r="L48" s="36"/>
      <c r="M48" s="103">
        <f t="shared" si="5"/>
        <v>0</v>
      </c>
      <c r="N48" s="36"/>
      <c r="O48" s="103">
        <f t="shared" si="6"/>
        <v>0</v>
      </c>
      <c r="P48" s="103">
        <f t="shared" si="7"/>
        <v>0</v>
      </c>
      <c r="Q48" s="103">
        <f t="shared" si="8"/>
        <v>0</v>
      </c>
      <c r="S48" s="2"/>
      <c r="T48" s="2"/>
    </row>
    <row r="49" spans="4:20" hidden="1" outlineLevel="1">
      <c r="E49" s="3" t="str">
        <f>PlayerPool!B40</f>
        <v>Mitchell Johnson</v>
      </c>
      <c r="F49" s="36"/>
      <c r="G49" s="103">
        <f t="shared" si="2"/>
        <v>0</v>
      </c>
      <c r="H49" s="36"/>
      <c r="I49" s="103">
        <f t="shared" si="3"/>
        <v>0</v>
      </c>
      <c r="J49" s="36"/>
      <c r="K49" s="103">
        <f t="shared" si="4"/>
        <v>0</v>
      </c>
      <c r="L49" s="36"/>
      <c r="M49" s="103">
        <f t="shared" si="5"/>
        <v>0</v>
      </c>
      <c r="N49" s="36"/>
      <c r="O49" s="103">
        <f t="shared" si="6"/>
        <v>0</v>
      </c>
      <c r="P49" s="103">
        <f t="shared" si="7"/>
        <v>0</v>
      </c>
      <c r="Q49" s="103">
        <f t="shared" si="8"/>
        <v>0</v>
      </c>
      <c r="S49" s="2"/>
      <c r="T49" s="2"/>
    </row>
    <row r="50" spans="4:20" hidden="1" outlineLevel="1">
      <c r="E50" s="3" t="str">
        <f>PlayerPool!B41</f>
        <v>Jason Krejza</v>
      </c>
      <c r="F50" s="36"/>
      <c r="G50" s="103">
        <f t="shared" si="2"/>
        <v>0</v>
      </c>
      <c r="H50" s="36"/>
      <c r="I50" s="103">
        <f t="shared" si="3"/>
        <v>0</v>
      </c>
      <c r="J50" s="36"/>
      <c r="K50" s="103">
        <f t="shared" si="4"/>
        <v>0</v>
      </c>
      <c r="L50" s="36"/>
      <c r="M50" s="103">
        <f t="shared" si="5"/>
        <v>0</v>
      </c>
      <c r="N50" s="36"/>
      <c r="O50" s="103">
        <f t="shared" si="6"/>
        <v>0</v>
      </c>
      <c r="P50" s="103">
        <f t="shared" si="7"/>
        <v>0</v>
      </c>
      <c r="Q50" s="103">
        <f t="shared" si="8"/>
        <v>0</v>
      </c>
      <c r="S50" s="2"/>
      <c r="T50" s="2"/>
    </row>
    <row r="51" spans="4:20" hidden="1" outlineLevel="1">
      <c r="E51" s="3" t="str">
        <f>PlayerPool!B42</f>
        <v>Brett Lee</v>
      </c>
      <c r="F51" s="36"/>
      <c r="G51" s="103">
        <f t="shared" si="2"/>
        <v>0</v>
      </c>
      <c r="H51" s="36"/>
      <c r="I51" s="103">
        <f t="shared" si="3"/>
        <v>0</v>
      </c>
      <c r="J51" s="36"/>
      <c r="K51" s="103">
        <f t="shared" si="4"/>
        <v>0</v>
      </c>
      <c r="L51" s="36"/>
      <c r="M51" s="103">
        <f t="shared" si="5"/>
        <v>0</v>
      </c>
      <c r="N51" s="36"/>
      <c r="O51" s="103">
        <f t="shared" si="6"/>
        <v>0</v>
      </c>
      <c r="P51" s="103">
        <f t="shared" si="7"/>
        <v>0</v>
      </c>
      <c r="Q51" s="103">
        <f t="shared" si="8"/>
        <v>0</v>
      </c>
      <c r="S51" s="2"/>
      <c r="T51" s="2"/>
    </row>
    <row r="52" spans="4:20" hidden="1" outlineLevel="1">
      <c r="E52" s="3" t="str">
        <f>PlayerPool!B43</f>
        <v>Tim Paine</v>
      </c>
      <c r="F52" s="36"/>
      <c r="G52" s="103">
        <f t="shared" si="2"/>
        <v>0</v>
      </c>
      <c r="H52" s="36"/>
      <c r="I52" s="103">
        <f t="shared" si="3"/>
        <v>0</v>
      </c>
      <c r="J52" s="36"/>
      <c r="K52" s="103">
        <f t="shared" si="4"/>
        <v>0</v>
      </c>
      <c r="L52" s="36"/>
      <c r="M52" s="103">
        <f t="shared" si="5"/>
        <v>0</v>
      </c>
      <c r="N52" s="36"/>
      <c r="O52" s="103">
        <f t="shared" si="6"/>
        <v>0</v>
      </c>
      <c r="P52" s="103">
        <f t="shared" si="7"/>
        <v>0</v>
      </c>
      <c r="Q52" s="103">
        <f t="shared" si="8"/>
        <v>0</v>
      </c>
      <c r="S52" s="2"/>
      <c r="T52" s="2"/>
    </row>
    <row r="53" spans="4:20" hidden="1" outlineLevel="1">
      <c r="E53" s="3" t="str">
        <f>PlayerPool!B44</f>
        <v>Steven Smith</v>
      </c>
      <c r="F53" s="36"/>
      <c r="G53" s="103">
        <f t="shared" si="2"/>
        <v>0</v>
      </c>
      <c r="H53" s="36"/>
      <c r="I53" s="103">
        <f t="shared" si="3"/>
        <v>0</v>
      </c>
      <c r="J53" s="36"/>
      <c r="K53" s="103">
        <f t="shared" si="4"/>
        <v>0</v>
      </c>
      <c r="L53" s="36"/>
      <c r="M53" s="103">
        <f t="shared" si="5"/>
        <v>0</v>
      </c>
      <c r="N53" s="36"/>
      <c r="O53" s="103">
        <f t="shared" si="6"/>
        <v>0</v>
      </c>
      <c r="P53" s="103">
        <f t="shared" si="7"/>
        <v>0</v>
      </c>
      <c r="Q53" s="103">
        <f t="shared" si="8"/>
        <v>0</v>
      </c>
      <c r="S53" s="2"/>
      <c r="T53" s="2"/>
    </row>
    <row r="54" spans="4:20" hidden="1" outlineLevel="1">
      <c r="E54" s="3" t="str">
        <f>PlayerPool!B45</f>
        <v>Shaun Tait</v>
      </c>
      <c r="F54" s="36"/>
      <c r="G54" s="103">
        <f t="shared" si="2"/>
        <v>0</v>
      </c>
      <c r="H54" s="36"/>
      <c r="I54" s="103">
        <f t="shared" si="3"/>
        <v>0</v>
      </c>
      <c r="J54" s="36"/>
      <c r="K54" s="103">
        <f t="shared" si="4"/>
        <v>0</v>
      </c>
      <c r="L54" s="36"/>
      <c r="M54" s="103">
        <f t="shared" si="5"/>
        <v>0</v>
      </c>
      <c r="N54" s="36"/>
      <c r="O54" s="103">
        <f t="shared" si="6"/>
        <v>0</v>
      </c>
      <c r="P54" s="103">
        <f t="shared" si="7"/>
        <v>0</v>
      </c>
      <c r="Q54" s="103">
        <f t="shared" si="8"/>
        <v>0</v>
      </c>
      <c r="S54" s="2"/>
      <c r="T54" s="2"/>
    </row>
    <row r="55" spans="4:20" hidden="1" outlineLevel="1">
      <c r="E55" s="3" t="str">
        <f>PlayerPool!B46</f>
        <v>Shane Watson</v>
      </c>
      <c r="F55" s="36"/>
      <c r="G55" s="103">
        <f t="shared" si="2"/>
        <v>0</v>
      </c>
      <c r="H55" s="36"/>
      <c r="I55" s="103">
        <f t="shared" si="3"/>
        <v>0</v>
      </c>
      <c r="J55" s="36"/>
      <c r="K55" s="103">
        <f t="shared" si="4"/>
        <v>0</v>
      </c>
      <c r="L55" s="36"/>
      <c r="M55" s="103">
        <f t="shared" si="5"/>
        <v>0</v>
      </c>
      <c r="N55" s="36"/>
      <c r="O55" s="103">
        <f t="shared" si="6"/>
        <v>0</v>
      </c>
      <c r="P55" s="103">
        <f t="shared" si="7"/>
        <v>0</v>
      </c>
      <c r="Q55" s="103">
        <f t="shared" si="8"/>
        <v>0</v>
      </c>
      <c r="S55" s="2"/>
      <c r="T55" s="2"/>
    </row>
    <row r="56" spans="4:20" hidden="1" outlineLevel="1">
      <c r="E56" s="3" t="str">
        <f>PlayerPool!B47</f>
        <v>Cameron White</v>
      </c>
      <c r="F56" s="36"/>
      <c r="G56" s="103">
        <f t="shared" si="2"/>
        <v>0</v>
      </c>
      <c r="H56" s="36"/>
      <c r="I56" s="103">
        <f t="shared" si="3"/>
        <v>0</v>
      </c>
      <c r="J56" s="36"/>
      <c r="K56" s="103">
        <f t="shared" si="4"/>
        <v>0</v>
      </c>
      <c r="L56" s="36"/>
      <c r="M56" s="103">
        <f t="shared" si="5"/>
        <v>0</v>
      </c>
      <c r="N56" s="36"/>
      <c r="O56" s="103">
        <f t="shared" si="6"/>
        <v>0</v>
      </c>
      <c r="P56" s="103">
        <f t="shared" si="7"/>
        <v>0</v>
      </c>
      <c r="Q56" s="103">
        <f t="shared" si="8"/>
        <v>0</v>
      </c>
      <c r="S56" s="2"/>
      <c r="T56" s="2"/>
    </row>
    <row r="57" spans="4:20" collapsed="1">
      <c r="D57" s="5" t="s">
        <v>97</v>
      </c>
      <c r="F57" s="105">
        <f>SUM(F58:F72)</f>
        <v>0</v>
      </c>
      <c r="G57" s="104">
        <f t="shared" ref="G57:Q57" si="11">SUM(G58:G72)</f>
        <v>0</v>
      </c>
      <c r="H57" s="105">
        <f t="shared" si="11"/>
        <v>0</v>
      </c>
      <c r="I57" s="104">
        <f t="shared" si="11"/>
        <v>0</v>
      </c>
      <c r="J57" s="105">
        <f t="shared" si="11"/>
        <v>0</v>
      </c>
      <c r="K57" s="104">
        <f t="shared" si="11"/>
        <v>0</v>
      </c>
      <c r="L57" s="105">
        <f t="shared" si="11"/>
        <v>0</v>
      </c>
      <c r="M57" s="104">
        <f t="shared" si="11"/>
        <v>0</v>
      </c>
      <c r="N57" s="105">
        <f t="shared" si="11"/>
        <v>0</v>
      </c>
      <c r="O57" s="104">
        <f t="shared" si="11"/>
        <v>0</v>
      </c>
      <c r="P57" s="105">
        <f t="shared" si="11"/>
        <v>0</v>
      </c>
      <c r="Q57" s="104">
        <f t="shared" si="11"/>
        <v>0</v>
      </c>
      <c r="S57" s="2"/>
      <c r="T57" s="2"/>
    </row>
    <row r="58" spans="4:20" hidden="1" outlineLevel="1">
      <c r="E58" s="3" t="str">
        <f>PlayerPool!B48</f>
        <v>Andrew Strauss</v>
      </c>
      <c r="F58" s="36"/>
      <c r="G58" s="103">
        <f t="shared" si="2"/>
        <v>0</v>
      </c>
      <c r="H58" s="36"/>
      <c r="I58" s="103">
        <f t="shared" si="3"/>
        <v>0</v>
      </c>
      <c r="J58" s="36"/>
      <c r="K58" s="103">
        <f t="shared" si="4"/>
        <v>0</v>
      </c>
      <c r="L58" s="36"/>
      <c r="M58" s="103">
        <f t="shared" si="5"/>
        <v>0</v>
      </c>
      <c r="N58" s="36"/>
      <c r="O58" s="103">
        <f t="shared" si="6"/>
        <v>0</v>
      </c>
      <c r="P58" s="103">
        <f t="shared" si="7"/>
        <v>0</v>
      </c>
      <c r="Q58" s="103">
        <f t="shared" si="8"/>
        <v>0</v>
      </c>
      <c r="S58" s="2"/>
      <c r="T58" s="2"/>
    </row>
    <row r="59" spans="4:20" hidden="1" outlineLevel="1">
      <c r="E59" s="3" t="str">
        <f>PlayerPool!B49</f>
        <v>James Anderson</v>
      </c>
      <c r="F59" s="36"/>
      <c r="G59" s="103">
        <f t="shared" si="2"/>
        <v>0</v>
      </c>
      <c r="H59" s="36"/>
      <c r="I59" s="103">
        <f t="shared" si="3"/>
        <v>0</v>
      </c>
      <c r="J59" s="36"/>
      <c r="K59" s="103">
        <f t="shared" si="4"/>
        <v>0</v>
      </c>
      <c r="L59" s="36"/>
      <c r="M59" s="103">
        <f t="shared" si="5"/>
        <v>0</v>
      </c>
      <c r="N59" s="36"/>
      <c r="O59" s="103">
        <f t="shared" si="6"/>
        <v>0</v>
      </c>
      <c r="P59" s="103">
        <f t="shared" si="7"/>
        <v>0</v>
      </c>
      <c r="Q59" s="103">
        <f t="shared" si="8"/>
        <v>0</v>
      </c>
      <c r="S59" s="2"/>
      <c r="T59" s="2"/>
    </row>
    <row r="60" spans="4:20" hidden="1" outlineLevel="1">
      <c r="E60" s="3" t="str">
        <f>PlayerPool!B50</f>
        <v>Ian Bell</v>
      </c>
      <c r="F60" s="36"/>
      <c r="G60" s="103">
        <f t="shared" si="2"/>
        <v>0</v>
      </c>
      <c r="H60" s="36"/>
      <c r="I60" s="103">
        <f t="shared" si="3"/>
        <v>0</v>
      </c>
      <c r="J60" s="36"/>
      <c r="K60" s="103">
        <f t="shared" si="4"/>
        <v>0</v>
      </c>
      <c r="L60" s="36"/>
      <c r="M60" s="103">
        <f t="shared" si="5"/>
        <v>0</v>
      </c>
      <c r="N60" s="36"/>
      <c r="O60" s="103">
        <f t="shared" si="6"/>
        <v>0</v>
      </c>
      <c r="P60" s="103">
        <f t="shared" si="7"/>
        <v>0</v>
      </c>
      <c r="Q60" s="103">
        <f t="shared" si="8"/>
        <v>0</v>
      </c>
      <c r="S60" s="2"/>
      <c r="T60" s="2"/>
    </row>
    <row r="61" spans="4:20" hidden="1" outlineLevel="1">
      <c r="E61" s="3" t="str">
        <f>PlayerPool!B51</f>
        <v>Ravi Bopara</v>
      </c>
      <c r="F61" s="36"/>
      <c r="G61" s="103">
        <f t="shared" si="2"/>
        <v>0</v>
      </c>
      <c r="H61" s="36"/>
      <c r="I61" s="103">
        <f t="shared" si="3"/>
        <v>0</v>
      </c>
      <c r="J61" s="36"/>
      <c r="K61" s="103">
        <f t="shared" si="4"/>
        <v>0</v>
      </c>
      <c r="L61" s="36"/>
      <c r="M61" s="103">
        <f t="shared" si="5"/>
        <v>0</v>
      </c>
      <c r="N61" s="36"/>
      <c r="O61" s="103">
        <f t="shared" si="6"/>
        <v>0</v>
      </c>
      <c r="P61" s="103">
        <f t="shared" si="7"/>
        <v>0</v>
      </c>
      <c r="Q61" s="103">
        <f t="shared" si="8"/>
        <v>0</v>
      </c>
      <c r="S61" s="2"/>
      <c r="T61" s="2"/>
    </row>
    <row r="62" spans="4:20" hidden="1" outlineLevel="1">
      <c r="E62" s="3" t="str">
        <f>PlayerPool!B52</f>
        <v>Tim Bresnan</v>
      </c>
      <c r="F62" s="36"/>
      <c r="G62" s="103">
        <f t="shared" si="2"/>
        <v>0</v>
      </c>
      <c r="H62" s="36"/>
      <c r="I62" s="103">
        <f t="shared" si="3"/>
        <v>0</v>
      </c>
      <c r="J62" s="36"/>
      <c r="K62" s="103">
        <f t="shared" si="4"/>
        <v>0</v>
      </c>
      <c r="L62" s="36"/>
      <c r="M62" s="103">
        <f t="shared" si="5"/>
        <v>0</v>
      </c>
      <c r="N62" s="36"/>
      <c r="O62" s="103">
        <f t="shared" si="6"/>
        <v>0</v>
      </c>
      <c r="P62" s="103">
        <f t="shared" si="7"/>
        <v>0</v>
      </c>
      <c r="Q62" s="103">
        <f t="shared" si="8"/>
        <v>0</v>
      </c>
      <c r="S62" s="2"/>
      <c r="T62" s="2"/>
    </row>
    <row r="63" spans="4:20" hidden="1" outlineLevel="1">
      <c r="E63" s="3" t="str">
        <f>PlayerPool!B53</f>
        <v>Stuart Broad</v>
      </c>
      <c r="F63" s="36"/>
      <c r="G63" s="103">
        <f t="shared" si="2"/>
        <v>0</v>
      </c>
      <c r="H63" s="36"/>
      <c r="I63" s="103">
        <f t="shared" si="3"/>
        <v>0</v>
      </c>
      <c r="J63" s="36"/>
      <c r="K63" s="103">
        <f t="shared" si="4"/>
        <v>0</v>
      </c>
      <c r="L63" s="36"/>
      <c r="M63" s="103">
        <f t="shared" si="5"/>
        <v>0</v>
      </c>
      <c r="N63" s="36"/>
      <c r="O63" s="103">
        <f t="shared" si="6"/>
        <v>0</v>
      </c>
      <c r="P63" s="103">
        <f t="shared" si="7"/>
        <v>0</v>
      </c>
      <c r="Q63" s="103">
        <f t="shared" si="8"/>
        <v>0</v>
      </c>
      <c r="S63" s="2"/>
      <c r="T63" s="2"/>
    </row>
    <row r="64" spans="4:20" hidden="1" outlineLevel="1">
      <c r="E64" s="3" t="str">
        <f>PlayerPool!B54</f>
        <v>Paul Collingwood</v>
      </c>
      <c r="F64" s="36"/>
      <c r="G64" s="103">
        <f t="shared" si="2"/>
        <v>0</v>
      </c>
      <c r="H64" s="36"/>
      <c r="I64" s="103">
        <f t="shared" si="3"/>
        <v>0</v>
      </c>
      <c r="J64" s="36"/>
      <c r="K64" s="103">
        <f t="shared" si="4"/>
        <v>0</v>
      </c>
      <c r="L64" s="36"/>
      <c r="M64" s="103">
        <f t="shared" si="5"/>
        <v>0</v>
      </c>
      <c r="N64" s="36"/>
      <c r="O64" s="103">
        <f t="shared" si="6"/>
        <v>0</v>
      </c>
      <c r="P64" s="103">
        <f t="shared" si="7"/>
        <v>0</v>
      </c>
      <c r="Q64" s="103">
        <f t="shared" si="8"/>
        <v>0</v>
      </c>
      <c r="S64" s="2"/>
      <c r="T64" s="2"/>
    </row>
    <row r="65" spans="4:20" hidden="1" outlineLevel="1">
      <c r="E65" s="3" t="str">
        <f>PlayerPool!B55</f>
        <v>Kevin Pietersen</v>
      </c>
      <c r="F65" s="36"/>
      <c r="G65" s="103">
        <f t="shared" si="2"/>
        <v>0</v>
      </c>
      <c r="H65" s="36"/>
      <c r="I65" s="103">
        <f t="shared" si="3"/>
        <v>0</v>
      </c>
      <c r="J65" s="36"/>
      <c r="K65" s="103">
        <f t="shared" si="4"/>
        <v>0</v>
      </c>
      <c r="L65" s="36"/>
      <c r="M65" s="103">
        <f t="shared" si="5"/>
        <v>0</v>
      </c>
      <c r="N65" s="36"/>
      <c r="O65" s="103">
        <f t="shared" si="6"/>
        <v>0</v>
      </c>
      <c r="P65" s="103">
        <f t="shared" si="7"/>
        <v>0</v>
      </c>
      <c r="Q65" s="103">
        <f t="shared" si="8"/>
        <v>0</v>
      </c>
      <c r="S65" s="2"/>
      <c r="T65" s="2"/>
    </row>
    <row r="66" spans="4:20" hidden="1" outlineLevel="1">
      <c r="E66" s="3" t="str">
        <f>PlayerPool!B56</f>
        <v>Matt Prior</v>
      </c>
      <c r="F66" s="36"/>
      <c r="G66" s="103">
        <f t="shared" si="2"/>
        <v>0</v>
      </c>
      <c r="H66" s="36"/>
      <c r="I66" s="103">
        <f t="shared" si="3"/>
        <v>0</v>
      </c>
      <c r="J66" s="36"/>
      <c r="K66" s="103">
        <f t="shared" si="4"/>
        <v>0</v>
      </c>
      <c r="L66" s="36"/>
      <c r="M66" s="103">
        <f t="shared" si="5"/>
        <v>0</v>
      </c>
      <c r="N66" s="36"/>
      <c r="O66" s="103">
        <f t="shared" si="6"/>
        <v>0</v>
      </c>
      <c r="P66" s="103">
        <f t="shared" si="7"/>
        <v>0</v>
      </c>
      <c r="Q66" s="103">
        <f t="shared" si="8"/>
        <v>0</v>
      </c>
      <c r="S66" s="2"/>
      <c r="T66" s="2"/>
    </row>
    <row r="67" spans="4:20" hidden="1" outlineLevel="1">
      <c r="E67" s="3" t="str">
        <f>PlayerPool!B57</f>
        <v>Ajmal Shahzad</v>
      </c>
      <c r="F67" s="36"/>
      <c r="G67" s="103">
        <f t="shared" si="2"/>
        <v>0</v>
      </c>
      <c r="H67" s="36"/>
      <c r="I67" s="103">
        <f t="shared" si="3"/>
        <v>0</v>
      </c>
      <c r="J67" s="36"/>
      <c r="K67" s="103">
        <f t="shared" si="4"/>
        <v>0</v>
      </c>
      <c r="L67" s="36"/>
      <c r="M67" s="103">
        <f t="shared" si="5"/>
        <v>0</v>
      </c>
      <c r="N67" s="36"/>
      <c r="O67" s="103">
        <f t="shared" si="6"/>
        <v>0</v>
      </c>
      <c r="P67" s="103">
        <f t="shared" si="7"/>
        <v>0</v>
      </c>
      <c r="Q67" s="103">
        <f t="shared" si="8"/>
        <v>0</v>
      </c>
      <c r="S67" s="2"/>
      <c r="T67" s="2"/>
    </row>
    <row r="68" spans="4:20" hidden="1" outlineLevel="1">
      <c r="E68" s="3" t="str">
        <f>PlayerPool!B58</f>
        <v>Graeme Swann</v>
      </c>
      <c r="F68" s="36"/>
      <c r="G68" s="103">
        <f t="shared" si="2"/>
        <v>0</v>
      </c>
      <c r="H68" s="36"/>
      <c r="I68" s="103">
        <f t="shared" si="3"/>
        <v>0</v>
      </c>
      <c r="J68" s="36"/>
      <c r="K68" s="103">
        <f t="shared" si="4"/>
        <v>0</v>
      </c>
      <c r="L68" s="36"/>
      <c r="M68" s="103">
        <f t="shared" si="5"/>
        <v>0</v>
      </c>
      <c r="N68" s="36"/>
      <c r="O68" s="103">
        <f t="shared" si="6"/>
        <v>0</v>
      </c>
      <c r="P68" s="103">
        <f t="shared" si="7"/>
        <v>0</v>
      </c>
      <c r="Q68" s="103">
        <f t="shared" si="8"/>
        <v>0</v>
      </c>
      <c r="S68" s="2"/>
      <c r="T68" s="2"/>
    </row>
    <row r="69" spans="4:20" hidden="1" outlineLevel="1">
      <c r="E69" s="3" t="str">
        <f>PlayerPool!B59</f>
        <v>James Tredwell</v>
      </c>
      <c r="F69" s="36"/>
      <c r="G69" s="103">
        <f t="shared" si="2"/>
        <v>0</v>
      </c>
      <c r="H69" s="36"/>
      <c r="I69" s="103">
        <f t="shared" si="3"/>
        <v>0</v>
      </c>
      <c r="J69" s="36"/>
      <c r="K69" s="103">
        <f t="shared" si="4"/>
        <v>0</v>
      </c>
      <c r="L69" s="36"/>
      <c r="M69" s="103">
        <f t="shared" si="5"/>
        <v>0</v>
      </c>
      <c r="N69" s="36"/>
      <c r="O69" s="103">
        <f t="shared" si="6"/>
        <v>0</v>
      </c>
      <c r="P69" s="103">
        <f t="shared" si="7"/>
        <v>0</v>
      </c>
      <c r="Q69" s="103">
        <f t="shared" si="8"/>
        <v>0</v>
      </c>
      <c r="S69" s="2"/>
      <c r="T69" s="2"/>
    </row>
    <row r="70" spans="4:20" hidden="1" outlineLevel="1">
      <c r="E70" s="3" t="str">
        <f>PlayerPool!B60</f>
        <v>Jonathan Trott</v>
      </c>
      <c r="F70" s="36"/>
      <c r="G70" s="103">
        <f t="shared" si="2"/>
        <v>0</v>
      </c>
      <c r="H70" s="36"/>
      <c r="I70" s="103">
        <f t="shared" si="3"/>
        <v>0</v>
      </c>
      <c r="J70" s="36"/>
      <c r="K70" s="103">
        <f t="shared" si="4"/>
        <v>0</v>
      </c>
      <c r="L70" s="36"/>
      <c r="M70" s="103">
        <f t="shared" si="5"/>
        <v>0</v>
      </c>
      <c r="N70" s="36"/>
      <c r="O70" s="103">
        <f t="shared" si="6"/>
        <v>0</v>
      </c>
      <c r="P70" s="103">
        <f t="shared" si="7"/>
        <v>0</v>
      </c>
      <c r="Q70" s="103">
        <f t="shared" si="8"/>
        <v>0</v>
      </c>
      <c r="S70" s="2"/>
      <c r="T70" s="2"/>
    </row>
    <row r="71" spans="4:20" hidden="1" outlineLevel="1">
      <c r="E71" s="3" t="str">
        <f>PlayerPool!B61</f>
        <v>Luke Wright</v>
      </c>
      <c r="F71" s="36"/>
      <c r="G71" s="103">
        <f t="shared" si="2"/>
        <v>0</v>
      </c>
      <c r="H71" s="36"/>
      <c r="I71" s="103">
        <f t="shared" si="3"/>
        <v>0</v>
      </c>
      <c r="J71" s="36"/>
      <c r="K71" s="103">
        <f t="shared" si="4"/>
        <v>0</v>
      </c>
      <c r="L71" s="36"/>
      <c r="M71" s="103">
        <f t="shared" si="5"/>
        <v>0</v>
      </c>
      <c r="N71" s="36"/>
      <c r="O71" s="103">
        <f t="shared" si="6"/>
        <v>0</v>
      </c>
      <c r="P71" s="103">
        <f t="shared" si="7"/>
        <v>0</v>
      </c>
      <c r="Q71" s="103">
        <f t="shared" si="8"/>
        <v>0</v>
      </c>
      <c r="S71" s="2"/>
      <c r="T71" s="2"/>
    </row>
    <row r="72" spans="4:20" hidden="1" outlineLevel="1">
      <c r="E72" s="3" t="str">
        <f>PlayerPool!B62</f>
        <v>Michael Yardy</v>
      </c>
      <c r="F72" s="36"/>
      <c r="G72" s="103">
        <f t="shared" si="2"/>
        <v>0</v>
      </c>
      <c r="H72" s="36"/>
      <c r="I72" s="103">
        <f t="shared" si="3"/>
        <v>0</v>
      </c>
      <c r="J72" s="36"/>
      <c r="K72" s="103">
        <f t="shared" si="4"/>
        <v>0</v>
      </c>
      <c r="L72" s="36"/>
      <c r="M72" s="103">
        <f t="shared" si="5"/>
        <v>0</v>
      </c>
      <c r="N72" s="36"/>
      <c r="O72" s="103">
        <f t="shared" si="6"/>
        <v>0</v>
      </c>
      <c r="P72" s="103">
        <f t="shared" si="7"/>
        <v>0</v>
      </c>
      <c r="Q72" s="103">
        <f t="shared" si="8"/>
        <v>0</v>
      </c>
      <c r="S72" s="2"/>
      <c r="T72" s="2"/>
    </row>
    <row r="73" spans="4:20" collapsed="1">
      <c r="D73" s="5" t="s">
        <v>100</v>
      </c>
      <c r="F73" s="105">
        <f>SUM(F74:F88)</f>
        <v>0</v>
      </c>
      <c r="G73" s="104">
        <f t="shared" ref="G73:Q73" si="12">SUM(G74:G88)</f>
        <v>0</v>
      </c>
      <c r="H73" s="105">
        <f t="shared" si="12"/>
        <v>0</v>
      </c>
      <c r="I73" s="104">
        <f t="shared" si="12"/>
        <v>0</v>
      </c>
      <c r="J73" s="105">
        <f t="shared" si="12"/>
        <v>0</v>
      </c>
      <c r="K73" s="104">
        <f t="shared" si="12"/>
        <v>0</v>
      </c>
      <c r="L73" s="105">
        <f t="shared" si="12"/>
        <v>0</v>
      </c>
      <c r="M73" s="104">
        <f t="shared" si="12"/>
        <v>0</v>
      </c>
      <c r="N73" s="105">
        <f t="shared" si="12"/>
        <v>0</v>
      </c>
      <c r="O73" s="104">
        <f t="shared" si="12"/>
        <v>0</v>
      </c>
      <c r="P73" s="105">
        <f t="shared" si="12"/>
        <v>0</v>
      </c>
      <c r="Q73" s="104">
        <f t="shared" si="12"/>
        <v>0</v>
      </c>
      <c r="S73" s="2"/>
      <c r="T73" s="2"/>
    </row>
    <row r="74" spans="4:20" hidden="1" outlineLevel="1">
      <c r="E74" s="3" t="str">
        <f>PlayerPool!B63</f>
        <v>Kumar Sangakkara</v>
      </c>
      <c r="F74" s="36"/>
      <c r="G74" s="103">
        <f t="shared" si="2"/>
        <v>0</v>
      </c>
      <c r="H74" s="36"/>
      <c r="I74" s="103">
        <f t="shared" si="3"/>
        <v>0</v>
      </c>
      <c r="J74" s="36"/>
      <c r="K74" s="103">
        <f t="shared" si="4"/>
        <v>0</v>
      </c>
      <c r="L74" s="36"/>
      <c r="M74" s="103">
        <f t="shared" si="5"/>
        <v>0</v>
      </c>
      <c r="N74" s="36"/>
      <c r="O74" s="103">
        <f t="shared" si="6"/>
        <v>0</v>
      </c>
      <c r="P74" s="103">
        <f t="shared" si="7"/>
        <v>0</v>
      </c>
      <c r="Q74" s="103">
        <f t="shared" si="8"/>
        <v>0</v>
      </c>
      <c r="S74" s="2"/>
      <c r="T74" s="2"/>
    </row>
    <row r="75" spans="4:20" hidden="1" outlineLevel="1">
      <c r="E75" s="3" t="str">
        <f>PlayerPool!B64</f>
        <v>Mahela Jayawardene</v>
      </c>
      <c r="F75" s="36"/>
      <c r="G75" s="103">
        <f t="shared" ref="G75:G138" si="13">F75*$C$3</f>
        <v>0</v>
      </c>
      <c r="H75" s="36"/>
      <c r="I75" s="103">
        <f t="shared" ref="I75:I138" si="14">H75*$C$3</f>
        <v>0</v>
      </c>
      <c r="J75" s="36"/>
      <c r="K75" s="103">
        <f t="shared" ref="K75:K138" si="15">J75*$C$3</f>
        <v>0</v>
      </c>
      <c r="L75" s="36"/>
      <c r="M75" s="103">
        <f t="shared" ref="M75:M138" si="16">L75*$C$3</f>
        <v>0</v>
      </c>
      <c r="N75" s="36"/>
      <c r="O75" s="103">
        <f t="shared" ref="O75:O138" si="17">N75*$C$3</f>
        <v>0</v>
      </c>
      <c r="P75" s="103">
        <f t="shared" ref="P75:P138" si="18">SUM(F75,H75,J75,L75,N75)</f>
        <v>0</v>
      </c>
      <c r="Q75" s="103">
        <f t="shared" ref="Q75:Q138" si="19">SUM(G75,I75,K75,M75,O75)</f>
        <v>0</v>
      </c>
      <c r="S75" s="2"/>
      <c r="T75" s="2"/>
    </row>
    <row r="76" spans="4:20" hidden="1" outlineLevel="1">
      <c r="E76" s="3" t="str">
        <f>PlayerPool!B65</f>
        <v>Tillakaratne Dilshan</v>
      </c>
      <c r="F76" s="36"/>
      <c r="G76" s="103">
        <f t="shared" si="13"/>
        <v>0</v>
      </c>
      <c r="H76" s="36"/>
      <c r="I76" s="103">
        <f t="shared" si="14"/>
        <v>0</v>
      </c>
      <c r="J76" s="36"/>
      <c r="K76" s="103">
        <f t="shared" si="15"/>
        <v>0</v>
      </c>
      <c r="L76" s="36"/>
      <c r="M76" s="103">
        <f t="shared" si="16"/>
        <v>0</v>
      </c>
      <c r="N76" s="36"/>
      <c r="O76" s="103">
        <f t="shared" si="17"/>
        <v>0</v>
      </c>
      <c r="P76" s="103">
        <f t="shared" si="18"/>
        <v>0</v>
      </c>
      <c r="Q76" s="103">
        <f t="shared" si="19"/>
        <v>0</v>
      </c>
      <c r="S76" s="2"/>
      <c r="T76" s="2"/>
    </row>
    <row r="77" spans="4:20" hidden="1" outlineLevel="1">
      <c r="E77" s="3" t="str">
        <f>PlayerPool!B66</f>
        <v>Dilhara Fernando</v>
      </c>
      <c r="F77" s="36"/>
      <c r="G77" s="103">
        <f t="shared" si="13"/>
        <v>0</v>
      </c>
      <c r="H77" s="36"/>
      <c r="I77" s="103">
        <f t="shared" si="14"/>
        <v>0</v>
      </c>
      <c r="J77" s="36"/>
      <c r="K77" s="103">
        <f t="shared" si="15"/>
        <v>0</v>
      </c>
      <c r="L77" s="36"/>
      <c r="M77" s="103">
        <f t="shared" si="16"/>
        <v>0</v>
      </c>
      <c r="N77" s="36"/>
      <c r="O77" s="103">
        <f t="shared" si="17"/>
        <v>0</v>
      </c>
      <c r="P77" s="103">
        <f t="shared" si="18"/>
        <v>0</v>
      </c>
      <c r="Q77" s="103">
        <f t="shared" si="19"/>
        <v>0</v>
      </c>
      <c r="S77" s="2"/>
      <c r="T77" s="2"/>
    </row>
    <row r="78" spans="4:20" hidden="1" outlineLevel="1">
      <c r="E78" s="3" t="str">
        <f>PlayerPool!B67</f>
        <v>Rangana Herath</v>
      </c>
      <c r="F78" s="36"/>
      <c r="G78" s="103">
        <f t="shared" si="13"/>
        <v>0</v>
      </c>
      <c r="H78" s="36"/>
      <c r="I78" s="103">
        <f t="shared" si="14"/>
        <v>0</v>
      </c>
      <c r="J78" s="36"/>
      <c r="K78" s="103">
        <f t="shared" si="15"/>
        <v>0</v>
      </c>
      <c r="L78" s="36"/>
      <c r="M78" s="103">
        <f t="shared" si="16"/>
        <v>0</v>
      </c>
      <c r="N78" s="36"/>
      <c r="O78" s="103">
        <f t="shared" si="17"/>
        <v>0</v>
      </c>
      <c r="P78" s="103">
        <f t="shared" si="18"/>
        <v>0</v>
      </c>
      <c r="Q78" s="103">
        <f t="shared" si="19"/>
        <v>0</v>
      </c>
      <c r="S78" s="2"/>
      <c r="T78" s="2"/>
    </row>
    <row r="79" spans="4:20" hidden="1" outlineLevel="1">
      <c r="E79" s="3" t="str">
        <f>PlayerPool!B68</f>
        <v>Chamara Kapugedera</v>
      </c>
      <c r="F79" s="36"/>
      <c r="G79" s="103">
        <f t="shared" si="13"/>
        <v>0</v>
      </c>
      <c r="H79" s="36"/>
      <c r="I79" s="103">
        <f t="shared" si="14"/>
        <v>0</v>
      </c>
      <c r="J79" s="36"/>
      <c r="K79" s="103">
        <f t="shared" si="15"/>
        <v>0</v>
      </c>
      <c r="L79" s="36"/>
      <c r="M79" s="103">
        <f t="shared" si="16"/>
        <v>0</v>
      </c>
      <c r="N79" s="36"/>
      <c r="O79" s="103">
        <f t="shared" si="17"/>
        <v>0</v>
      </c>
      <c r="P79" s="103">
        <f t="shared" si="18"/>
        <v>0</v>
      </c>
      <c r="Q79" s="103">
        <f t="shared" si="19"/>
        <v>0</v>
      </c>
      <c r="S79" s="2"/>
      <c r="T79" s="2"/>
    </row>
    <row r="80" spans="4:20" hidden="1" outlineLevel="1">
      <c r="E80" s="3" t="str">
        <f>PlayerPool!B69</f>
        <v>Nuwan Kulasekara</v>
      </c>
      <c r="F80" s="36"/>
      <c r="G80" s="103">
        <f t="shared" si="13"/>
        <v>0</v>
      </c>
      <c r="H80" s="36"/>
      <c r="I80" s="103">
        <f t="shared" si="14"/>
        <v>0</v>
      </c>
      <c r="J80" s="36"/>
      <c r="K80" s="103">
        <f t="shared" si="15"/>
        <v>0</v>
      </c>
      <c r="L80" s="36"/>
      <c r="M80" s="103">
        <f t="shared" si="16"/>
        <v>0</v>
      </c>
      <c r="N80" s="36"/>
      <c r="O80" s="103">
        <f t="shared" si="17"/>
        <v>0</v>
      </c>
      <c r="P80" s="103">
        <f t="shared" si="18"/>
        <v>0</v>
      </c>
      <c r="Q80" s="103">
        <f t="shared" si="19"/>
        <v>0</v>
      </c>
      <c r="S80" s="2"/>
      <c r="T80" s="2"/>
    </row>
    <row r="81" spans="4:20" hidden="1" outlineLevel="1">
      <c r="E81" s="3" t="str">
        <f>PlayerPool!B70</f>
        <v>Lasith Malinga</v>
      </c>
      <c r="F81" s="36"/>
      <c r="G81" s="103">
        <f t="shared" si="13"/>
        <v>0</v>
      </c>
      <c r="H81" s="36"/>
      <c r="I81" s="103">
        <f t="shared" si="14"/>
        <v>0</v>
      </c>
      <c r="J81" s="36"/>
      <c r="K81" s="103">
        <f t="shared" si="15"/>
        <v>0</v>
      </c>
      <c r="L81" s="36"/>
      <c r="M81" s="103">
        <f t="shared" si="16"/>
        <v>0</v>
      </c>
      <c r="N81" s="36"/>
      <c r="O81" s="103">
        <f t="shared" si="17"/>
        <v>0</v>
      </c>
      <c r="P81" s="103">
        <f t="shared" si="18"/>
        <v>0</v>
      </c>
      <c r="Q81" s="103">
        <f t="shared" si="19"/>
        <v>0</v>
      </c>
      <c r="S81" s="2"/>
      <c r="T81" s="2"/>
    </row>
    <row r="82" spans="4:20" hidden="1" outlineLevel="1">
      <c r="E82" s="3" t="str">
        <f>PlayerPool!B71</f>
        <v>Angelo Mathews</v>
      </c>
      <c r="F82" s="36"/>
      <c r="G82" s="103">
        <f t="shared" si="13"/>
        <v>0</v>
      </c>
      <c r="H82" s="36"/>
      <c r="I82" s="103">
        <f t="shared" si="14"/>
        <v>0</v>
      </c>
      <c r="J82" s="36"/>
      <c r="K82" s="103">
        <f t="shared" si="15"/>
        <v>0</v>
      </c>
      <c r="L82" s="36"/>
      <c r="M82" s="103">
        <f t="shared" si="16"/>
        <v>0</v>
      </c>
      <c r="N82" s="36"/>
      <c r="O82" s="103">
        <f t="shared" si="17"/>
        <v>0</v>
      </c>
      <c r="P82" s="103">
        <f t="shared" si="18"/>
        <v>0</v>
      </c>
      <c r="Q82" s="103">
        <f t="shared" si="19"/>
        <v>0</v>
      </c>
      <c r="S82" s="2"/>
      <c r="T82" s="2"/>
    </row>
    <row r="83" spans="4:20" hidden="1" outlineLevel="1">
      <c r="E83" s="3" t="str">
        <f>PlayerPool!B72</f>
        <v>Ajantha Mendis</v>
      </c>
      <c r="F83" s="36"/>
      <c r="G83" s="103">
        <f t="shared" si="13"/>
        <v>0</v>
      </c>
      <c r="H83" s="36"/>
      <c r="I83" s="103">
        <f t="shared" si="14"/>
        <v>0</v>
      </c>
      <c r="J83" s="36"/>
      <c r="K83" s="103">
        <f t="shared" si="15"/>
        <v>0</v>
      </c>
      <c r="L83" s="36"/>
      <c r="M83" s="103">
        <f t="shared" si="16"/>
        <v>0</v>
      </c>
      <c r="N83" s="36"/>
      <c r="O83" s="103">
        <f t="shared" si="17"/>
        <v>0</v>
      </c>
      <c r="P83" s="103">
        <f t="shared" si="18"/>
        <v>0</v>
      </c>
      <c r="Q83" s="103">
        <f t="shared" si="19"/>
        <v>0</v>
      </c>
      <c r="S83" s="2"/>
      <c r="T83" s="2"/>
    </row>
    <row r="84" spans="4:20" hidden="1" outlineLevel="1">
      <c r="E84" s="3" t="str">
        <f>PlayerPool!B73</f>
        <v>Muttiah Muralitharan</v>
      </c>
      <c r="F84" s="36"/>
      <c r="G84" s="103">
        <f t="shared" si="13"/>
        <v>0</v>
      </c>
      <c r="H84" s="36"/>
      <c r="I84" s="103">
        <f t="shared" si="14"/>
        <v>0</v>
      </c>
      <c r="J84" s="36"/>
      <c r="K84" s="103">
        <f t="shared" si="15"/>
        <v>0</v>
      </c>
      <c r="L84" s="36"/>
      <c r="M84" s="103">
        <f t="shared" si="16"/>
        <v>0</v>
      </c>
      <c r="N84" s="36"/>
      <c r="O84" s="103">
        <f t="shared" si="17"/>
        <v>0</v>
      </c>
      <c r="P84" s="103">
        <f t="shared" si="18"/>
        <v>0</v>
      </c>
      <c r="Q84" s="103">
        <f t="shared" si="19"/>
        <v>0</v>
      </c>
      <c r="S84" s="2"/>
      <c r="T84" s="2"/>
    </row>
    <row r="85" spans="4:20" hidden="1" outlineLevel="1">
      <c r="E85" s="3" t="str">
        <f>PlayerPool!B74</f>
        <v>Thisara Perera</v>
      </c>
      <c r="F85" s="36"/>
      <c r="G85" s="103">
        <f t="shared" si="13"/>
        <v>0</v>
      </c>
      <c r="H85" s="36"/>
      <c r="I85" s="103">
        <f t="shared" si="14"/>
        <v>0</v>
      </c>
      <c r="J85" s="36"/>
      <c r="K85" s="103">
        <f t="shared" si="15"/>
        <v>0</v>
      </c>
      <c r="L85" s="36"/>
      <c r="M85" s="103">
        <f t="shared" si="16"/>
        <v>0</v>
      </c>
      <c r="N85" s="36"/>
      <c r="O85" s="103">
        <f t="shared" si="17"/>
        <v>0</v>
      </c>
      <c r="P85" s="103">
        <f t="shared" si="18"/>
        <v>0</v>
      </c>
      <c r="Q85" s="103">
        <f t="shared" si="19"/>
        <v>0</v>
      </c>
      <c r="S85" s="2"/>
      <c r="T85" s="2"/>
    </row>
    <row r="86" spans="4:20" hidden="1" outlineLevel="1">
      <c r="E86" s="3" t="str">
        <f>PlayerPool!B75</f>
        <v>Thilan Samaraweera</v>
      </c>
      <c r="F86" s="36"/>
      <c r="G86" s="103">
        <f t="shared" si="13"/>
        <v>0</v>
      </c>
      <c r="H86" s="36"/>
      <c r="I86" s="103">
        <f t="shared" si="14"/>
        <v>0</v>
      </c>
      <c r="J86" s="36"/>
      <c r="K86" s="103">
        <f t="shared" si="15"/>
        <v>0</v>
      </c>
      <c r="L86" s="36"/>
      <c r="M86" s="103">
        <f t="shared" si="16"/>
        <v>0</v>
      </c>
      <c r="N86" s="36"/>
      <c r="O86" s="103">
        <f t="shared" si="17"/>
        <v>0</v>
      </c>
      <c r="P86" s="103">
        <f t="shared" si="18"/>
        <v>0</v>
      </c>
      <c r="Q86" s="103">
        <f t="shared" si="19"/>
        <v>0</v>
      </c>
      <c r="S86" s="2"/>
      <c r="T86" s="2"/>
    </row>
    <row r="87" spans="4:20" hidden="1" outlineLevel="1">
      <c r="E87" s="3" t="str">
        <f>PlayerPool!B76</f>
        <v>Chamara Silva</v>
      </c>
      <c r="F87" s="36"/>
      <c r="G87" s="103">
        <f t="shared" si="13"/>
        <v>0</v>
      </c>
      <c r="H87" s="36"/>
      <c r="I87" s="103">
        <f t="shared" si="14"/>
        <v>0</v>
      </c>
      <c r="J87" s="36"/>
      <c r="K87" s="103">
        <f t="shared" si="15"/>
        <v>0</v>
      </c>
      <c r="L87" s="36"/>
      <c r="M87" s="103">
        <f t="shared" si="16"/>
        <v>0</v>
      </c>
      <c r="N87" s="36"/>
      <c r="O87" s="103">
        <f t="shared" si="17"/>
        <v>0</v>
      </c>
      <c r="P87" s="103">
        <f t="shared" si="18"/>
        <v>0</v>
      </c>
      <c r="Q87" s="103">
        <f t="shared" si="19"/>
        <v>0</v>
      </c>
      <c r="S87" s="2"/>
      <c r="T87" s="2"/>
    </row>
    <row r="88" spans="4:20" hidden="1" outlineLevel="1">
      <c r="E88" s="3" t="str">
        <f>PlayerPool!B77</f>
        <v>Upul Tharanga</v>
      </c>
      <c r="F88" s="36"/>
      <c r="G88" s="103">
        <f t="shared" si="13"/>
        <v>0</v>
      </c>
      <c r="H88" s="36"/>
      <c r="I88" s="103">
        <f t="shared" si="14"/>
        <v>0</v>
      </c>
      <c r="J88" s="36"/>
      <c r="K88" s="103">
        <f t="shared" si="15"/>
        <v>0</v>
      </c>
      <c r="L88" s="36"/>
      <c r="M88" s="103">
        <f t="shared" si="16"/>
        <v>0</v>
      </c>
      <c r="N88" s="36"/>
      <c r="O88" s="103">
        <f t="shared" si="17"/>
        <v>0</v>
      </c>
      <c r="P88" s="103">
        <f t="shared" si="18"/>
        <v>0</v>
      </c>
      <c r="Q88" s="103">
        <f t="shared" si="19"/>
        <v>0</v>
      </c>
      <c r="S88" s="2"/>
      <c r="T88" s="2"/>
    </row>
    <row r="89" spans="4:20" collapsed="1">
      <c r="D89" s="5" t="s">
        <v>98</v>
      </c>
      <c r="F89" s="105">
        <f>SUM(F90:F104)</f>
        <v>0</v>
      </c>
      <c r="G89" s="104">
        <f t="shared" ref="G89:Q89" si="20">SUM(G90:G104)</f>
        <v>0</v>
      </c>
      <c r="H89" s="105">
        <f t="shared" si="20"/>
        <v>0</v>
      </c>
      <c r="I89" s="104">
        <f t="shared" si="20"/>
        <v>0</v>
      </c>
      <c r="J89" s="105">
        <f t="shared" si="20"/>
        <v>0</v>
      </c>
      <c r="K89" s="104">
        <f t="shared" si="20"/>
        <v>0</v>
      </c>
      <c r="L89" s="105">
        <f t="shared" si="20"/>
        <v>0</v>
      </c>
      <c r="M89" s="104">
        <f t="shared" si="20"/>
        <v>0</v>
      </c>
      <c r="N89" s="105">
        <f t="shared" si="20"/>
        <v>0</v>
      </c>
      <c r="O89" s="104">
        <f t="shared" si="20"/>
        <v>0</v>
      </c>
      <c r="P89" s="105">
        <f t="shared" si="20"/>
        <v>0</v>
      </c>
      <c r="Q89" s="104">
        <f t="shared" si="20"/>
        <v>0</v>
      </c>
      <c r="S89" s="2"/>
      <c r="T89" s="2"/>
    </row>
    <row r="90" spans="4:20" hidden="1" outlineLevel="1">
      <c r="E90" s="3" t="str">
        <f>PlayerPool!B78</f>
        <v>Shahid Afridi</v>
      </c>
      <c r="F90" s="36"/>
      <c r="G90" s="103">
        <f t="shared" si="13"/>
        <v>0</v>
      </c>
      <c r="H90" s="36"/>
      <c r="I90" s="103">
        <f t="shared" si="14"/>
        <v>0</v>
      </c>
      <c r="J90" s="36"/>
      <c r="K90" s="103">
        <f t="shared" si="15"/>
        <v>0</v>
      </c>
      <c r="L90" s="36"/>
      <c r="M90" s="103">
        <f t="shared" si="16"/>
        <v>0</v>
      </c>
      <c r="N90" s="36"/>
      <c r="O90" s="103">
        <f t="shared" si="17"/>
        <v>0</v>
      </c>
      <c r="P90" s="103">
        <f t="shared" si="18"/>
        <v>0</v>
      </c>
      <c r="Q90" s="103">
        <f t="shared" si="19"/>
        <v>0</v>
      </c>
      <c r="S90" s="2"/>
      <c r="T90" s="2"/>
    </row>
    <row r="91" spans="4:20" hidden="1" outlineLevel="1">
      <c r="E91" s="3" t="str">
        <f>PlayerPool!B79</f>
        <v>Misbah-ul-Haq</v>
      </c>
      <c r="F91" s="36"/>
      <c r="G91" s="103">
        <f t="shared" si="13"/>
        <v>0</v>
      </c>
      <c r="H91" s="36"/>
      <c r="I91" s="103">
        <f t="shared" si="14"/>
        <v>0</v>
      </c>
      <c r="J91" s="36"/>
      <c r="K91" s="103">
        <f t="shared" si="15"/>
        <v>0</v>
      </c>
      <c r="L91" s="36"/>
      <c r="M91" s="103">
        <f t="shared" si="16"/>
        <v>0</v>
      </c>
      <c r="N91" s="36"/>
      <c r="O91" s="103">
        <f t="shared" si="17"/>
        <v>0</v>
      </c>
      <c r="P91" s="103">
        <f t="shared" si="18"/>
        <v>0</v>
      </c>
      <c r="Q91" s="103">
        <f t="shared" si="19"/>
        <v>0</v>
      </c>
      <c r="S91" s="2"/>
      <c r="T91" s="2"/>
    </row>
    <row r="92" spans="4:20" hidden="1" outlineLevel="1">
      <c r="E92" s="3" t="str">
        <f>PlayerPool!B80</f>
        <v>Abdul Razzaq</v>
      </c>
      <c r="F92" s="36"/>
      <c r="G92" s="103">
        <f t="shared" si="13"/>
        <v>0</v>
      </c>
      <c r="H92" s="36"/>
      <c r="I92" s="103">
        <f t="shared" si="14"/>
        <v>0</v>
      </c>
      <c r="J92" s="36"/>
      <c r="K92" s="103">
        <f t="shared" si="15"/>
        <v>0</v>
      </c>
      <c r="L92" s="36"/>
      <c r="M92" s="103">
        <f t="shared" si="16"/>
        <v>0</v>
      </c>
      <c r="N92" s="36"/>
      <c r="O92" s="103">
        <f t="shared" si="17"/>
        <v>0</v>
      </c>
      <c r="P92" s="103">
        <f t="shared" si="18"/>
        <v>0</v>
      </c>
      <c r="Q92" s="103">
        <f t="shared" si="19"/>
        <v>0</v>
      </c>
      <c r="S92" s="2"/>
      <c r="T92" s="2"/>
    </row>
    <row r="93" spans="4:20" hidden="1" outlineLevel="1">
      <c r="E93" s="3" t="str">
        <f>PlayerPool!B81</f>
        <v>Abdur Rehman</v>
      </c>
      <c r="F93" s="36"/>
      <c r="G93" s="103">
        <f t="shared" si="13"/>
        <v>0</v>
      </c>
      <c r="H93" s="36"/>
      <c r="I93" s="103">
        <f t="shared" si="14"/>
        <v>0</v>
      </c>
      <c r="J93" s="36"/>
      <c r="K93" s="103">
        <f t="shared" si="15"/>
        <v>0</v>
      </c>
      <c r="L93" s="36"/>
      <c r="M93" s="103">
        <f t="shared" si="16"/>
        <v>0</v>
      </c>
      <c r="N93" s="36"/>
      <c r="O93" s="103">
        <f t="shared" si="17"/>
        <v>0</v>
      </c>
      <c r="P93" s="103">
        <f t="shared" si="18"/>
        <v>0</v>
      </c>
      <c r="Q93" s="103">
        <f t="shared" si="19"/>
        <v>0</v>
      </c>
      <c r="S93" s="2"/>
      <c r="T93" s="2"/>
    </row>
    <row r="94" spans="4:20" hidden="1" outlineLevel="1">
      <c r="E94" s="3" t="str">
        <f>PlayerPool!B82</f>
        <v>Ahmed Shehzad</v>
      </c>
      <c r="F94" s="36"/>
      <c r="G94" s="103">
        <f t="shared" si="13"/>
        <v>0</v>
      </c>
      <c r="H94" s="36"/>
      <c r="I94" s="103">
        <f t="shared" si="14"/>
        <v>0</v>
      </c>
      <c r="J94" s="36"/>
      <c r="K94" s="103">
        <f t="shared" si="15"/>
        <v>0</v>
      </c>
      <c r="L94" s="36"/>
      <c r="M94" s="103">
        <f t="shared" si="16"/>
        <v>0</v>
      </c>
      <c r="N94" s="36"/>
      <c r="O94" s="103">
        <f t="shared" si="17"/>
        <v>0</v>
      </c>
      <c r="P94" s="103">
        <f t="shared" si="18"/>
        <v>0</v>
      </c>
      <c r="Q94" s="103">
        <f t="shared" si="19"/>
        <v>0</v>
      </c>
      <c r="S94" s="2"/>
      <c r="T94" s="2"/>
    </row>
    <row r="95" spans="4:20" hidden="1" outlineLevel="1">
      <c r="E95" s="3" t="str">
        <f>PlayerPool!B83</f>
        <v>Asad Shafiq</v>
      </c>
      <c r="F95" s="36"/>
      <c r="G95" s="103">
        <f t="shared" si="13"/>
        <v>0</v>
      </c>
      <c r="H95" s="36"/>
      <c r="I95" s="103">
        <f t="shared" si="14"/>
        <v>0</v>
      </c>
      <c r="J95" s="36"/>
      <c r="K95" s="103">
        <f t="shared" si="15"/>
        <v>0</v>
      </c>
      <c r="L95" s="36"/>
      <c r="M95" s="103">
        <f t="shared" si="16"/>
        <v>0</v>
      </c>
      <c r="N95" s="36"/>
      <c r="O95" s="103">
        <f t="shared" si="17"/>
        <v>0</v>
      </c>
      <c r="P95" s="103">
        <f t="shared" si="18"/>
        <v>0</v>
      </c>
      <c r="Q95" s="103">
        <f t="shared" si="19"/>
        <v>0</v>
      </c>
      <c r="S95" s="2"/>
      <c r="T95" s="2"/>
    </row>
    <row r="96" spans="4:20" hidden="1" outlineLevel="1">
      <c r="E96" s="3" t="str">
        <f>PlayerPool!B84</f>
        <v>Junaid Khan</v>
      </c>
      <c r="F96" s="36"/>
      <c r="G96" s="103">
        <f t="shared" si="13"/>
        <v>0</v>
      </c>
      <c r="H96" s="36"/>
      <c r="I96" s="103">
        <f t="shared" si="14"/>
        <v>0</v>
      </c>
      <c r="J96" s="36"/>
      <c r="K96" s="103">
        <f t="shared" si="15"/>
        <v>0</v>
      </c>
      <c r="L96" s="36"/>
      <c r="M96" s="103">
        <f t="shared" si="16"/>
        <v>0</v>
      </c>
      <c r="N96" s="36"/>
      <c r="O96" s="103">
        <f t="shared" si="17"/>
        <v>0</v>
      </c>
      <c r="P96" s="103">
        <f t="shared" si="18"/>
        <v>0</v>
      </c>
      <c r="Q96" s="103">
        <f t="shared" si="19"/>
        <v>0</v>
      </c>
      <c r="S96" s="2"/>
      <c r="T96" s="2"/>
    </row>
    <row r="97" spans="4:20" hidden="1" outlineLevel="1">
      <c r="E97" s="3" t="str">
        <f>PlayerPool!B85</f>
        <v>Kamran Akmal</v>
      </c>
      <c r="F97" s="36"/>
      <c r="G97" s="103">
        <f t="shared" si="13"/>
        <v>0</v>
      </c>
      <c r="H97" s="36"/>
      <c r="I97" s="103">
        <f t="shared" si="14"/>
        <v>0</v>
      </c>
      <c r="J97" s="36"/>
      <c r="K97" s="103">
        <f t="shared" si="15"/>
        <v>0</v>
      </c>
      <c r="L97" s="36"/>
      <c r="M97" s="103">
        <f t="shared" si="16"/>
        <v>0</v>
      </c>
      <c r="N97" s="36"/>
      <c r="O97" s="103">
        <f t="shared" si="17"/>
        <v>0</v>
      </c>
      <c r="P97" s="103">
        <f t="shared" si="18"/>
        <v>0</v>
      </c>
      <c r="Q97" s="103">
        <f t="shared" si="19"/>
        <v>0</v>
      </c>
      <c r="S97" s="2"/>
      <c r="T97" s="2"/>
    </row>
    <row r="98" spans="4:20" hidden="1" outlineLevel="1">
      <c r="E98" s="3" t="str">
        <f>PlayerPool!B86</f>
        <v>Mohammad Hafeez</v>
      </c>
      <c r="F98" s="36"/>
      <c r="G98" s="103">
        <f t="shared" si="13"/>
        <v>0</v>
      </c>
      <c r="H98" s="36"/>
      <c r="I98" s="103">
        <f t="shared" si="14"/>
        <v>0</v>
      </c>
      <c r="J98" s="36"/>
      <c r="K98" s="103">
        <f t="shared" si="15"/>
        <v>0</v>
      </c>
      <c r="L98" s="36"/>
      <c r="M98" s="103">
        <f t="shared" si="16"/>
        <v>0</v>
      </c>
      <c r="N98" s="36"/>
      <c r="O98" s="103">
        <f t="shared" si="17"/>
        <v>0</v>
      </c>
      <c r="P98" s="103">
        <f t="shared" si="18"/>
        <v>0</v>
      </c>
      <c r="Q98" s="103">
        <f t="shared" si="19"/>
        <v>0</v>
      </c>
      <c r="S98" s="2"/>
      <c r="T98" s="2"/>
    </row>
    <row r="99" spans="4:20" hidden="1" outlineLevel="1">
      <c r="E99" s="3" t="str">
        <f>PlayerPool!B87</f>
        <v>Saeed Ajmal</v>
      </c>
      <c r="F99" s="36"/>
      <c r="G99" s="103">
        <f t="shared" si="13"/>
        <v>0</v>
      </c>
      <c r="H99" s="36"/>
      <c r="I99" s="103">
        <f t="shared" si="14"/>
        <v>0</v>
      </c>
      <c r="J99" s="36"/>
      <c r="K99" s="103">
        <f t="shared" si="15"/>
        <v>0</v>
      </c>
      <c r="L99" s="36"/>
      <c r="M99" s="103">
        <f t="shared" si="16"/>
        <v>0</v>
      </c>
      <c r="N99" s="36"/>
      <c r="O99" s="103">
        <f t="shared" si="17"/>
        <v>0</v>
      </c>
      <c r="P99" s="103">
        <f t="shared" si="18"/>
        <v>0</v>
      </c>
      <c r="Q99" s="103">
        <f t="shared" si="19"/>
        <v>0</v>
      </c>
      <c r="S99" s="2"/>
      <c r="T99" s="2"/>
    </row>
    <row r="100" spans="4:20" hidden="1" outlineLevel="1">
      <c r="E100" s="3" t="str">
        <f>PlayerPool!B88</f>
        <v>Shoaib Akhtar</v>
      </c>
      <c r="F100" s="36"/>
      <c r="G100" s="103">
        <f t="shared" si="13"/>
        <v>0</v>
      </c>
      <c r="H100" s="36"/>
      <c r="I100" s="103">
        <f t="shared" si="14"/>
        <v>0</v>
      </c>
      <c r="J100" s="36"/>
      <c r="K100" s="103">
        <f t="shared" si="15"/>
        <v>0</v>
      </c>
      <c r="L100" s="36"/>
      <c r="M100" s="103">
        <f t="shared" si="16"/>
        <v>0</v>
      </c>
      <c r="N100" s="36"/>
      <c r="O100" s="103">
        <f t="shared" si="17"/>
        <v>0</v>
      </c>
      <c r="P100" s="103">
        <f t="shared" si="18"/>
        <v>0</v>
      </c>
      <c r="Q100" s="103">
        <f t="shared" si="19"/>
        <v>0</v>
      </c>
      <c r="S100" s="2"/>
      <c r="T100" s="2"/>
    </row>
    <row r="101" spans="4:20" hidden="1" outlineLevel="1">
      <c r="E101" s="3" t="str">
        <f>PlayerPool!B89</f>
        <v>Umar Akmal</v>
      </c>
      <c r="F101" s="36"/>
      <c r="G101" s="103">
        <f t="shared" si="13"/>
        <v>0</v>
      </c>
      <c r="H101" s="36"/>
      <c r="I101" s="103">
        <f t="shared" si="14"/>
        <v>0</v>
      </c>
      <c r="J101" s="36"/>
      <c r="K101" s="103">
        <f t="shared" si="15"/>
        <v>0</v>
      </c>
      <c r="L101" s="36"/>
      <c r="M101" s="103">
        <f t="shared" si="16"/>
        <v>0</v>
      </c>
      <c r="N101" s="36"/>
      <c r="O101" s="103">
        <f t="shared" si="17"/>
        <v>0</v>
      </c>
      <c r="P101" s="103">
        <f t="shared" si="18"/>
        <v>0</v>
      </c>
      <c r="Q101" s="103">
        <f t="shared" si="19"/>
        <v>0</v>
      </c>
      <c r="S101" s="2"/>
      <c r="T101" s="2"/>
    </row>
    <row r="102" spans="4:20" hidden="1" outlineLevel="1">
      <c r="E102" s="3" t="str">
        <f>PlayerPool!B90</f>
        <v>Umar Gul</v>
      </c>
      <c r="F102" s="36"/>
      <c r="G102" s="103">
        <f t="shared" si="13"/>
        <v>0</v>
      </c>
      <c r="H102" s="36"/>
      <c r="I102" s="103">
        <f t="shared" si="14"/>
        <v>0</v>
      </c>
      <c r="J102" s="36"/>
      <c r="K102" s="103">
        <f t="shared" si="15"/>
        <v>0</v>
      </c>
      <c r="L102" s="36"/>
      <c r="M102" s="103">
        <f t="shared" si="16"/>
        <v>0</v>
      </c>
      <c r="N102" s="36"/>
      <c r="O102" s="103">
        <f t="shared" si="17"/>
        <v>0</v>
      </c>
      <c r="P102" s="103">
        <f t="shared" si="18"/>
        <v>0</v>
      </c>
      <c r="Q102" s="103">
        <f t="shared" si="19"/>
        <v>0</v>
      </c>
      <c r="S102" s="2"/>
      <c r="T102" s="2"/>
    </row>
    <row r="103" spans="4:20" hidden="1" outlineLevel="1">
      <c r="E103" s="3" t="str">
        <f>PlayerPool!B91</f>
        <v>Wahab Riaz</v>
      </c>
      <c r="F103" s="36"/>
      <c r="G103" s="103">
        <f t="shared" si="13"/>
        <v>0</v>
      </c>
      <c r="H103" s="36"/>
      <c r="I103" s="103">
        <f t="shared" si="14"/>
        <v>0</v>
      </c>
      <c r="J103" s="36"/>
      <c r="K103" s="103">
        <f t="shared" si="15"/>
        <v>0</v>
      </c>
      <c r="L103" s="36"/>
      <c r="M103" s="103">
        <f t="shared" si="16"/>
        <v>0</v>
      </c>
      <c r="N103" s="36"/>
      <c r="O103" s="103">
        <f t="shared" si="17"/>
        <v>0</v>
      </c>
      <c r="P103" s="103">
        <f t="shared" si="18"/>
        <v>0</v>
      </c>
      <c r="Q103" s="103">
        <f t="shared" si="19"/>
        <v>0</v>
      </c>
      <c r="S103" s="2"/>
      <c r="T103" s="2"/>
    </row>
    <row r="104" spans="4:20" hidden="1" outlineLevel="1">
      <c r="E104" s="3" t="str">
        <f>PlayerPool!B92</f>
        <v>Younis khan</v>
      </c>
      <c r="F104" s="36"/>
      <c r="G104" s="103">
        <f t="shared" si="13"/>
        <v>0</v>
      </c>
      <c r="H104" s="36"/>
      <c r="I104" s="103">
        <f t="shared" si="14"/>
        <v>0</v>
      </c>
      <c r="J104" s="36"/>
      <c r="K104" s="103">
        <f t="shared" si="15"/>
        <v>0</v>
      </c>
      <c r="L104" s="36"/>
      <c r="M104" s="103">
        <f t="shared" si="16"/>
        <v>0</v>
      </c>
      <c r="N104" s="36"/>
      <c r="O104" s="103">
        <f t="shared" si="17"/>
        <v>0</v>
      </c>
      <c r="P104" s="103">
        <f t="shared" si="18"/>
        <v>0</v>
      </c>
      <c r="Q104" s="103">
        <f t="shared" si="19"/>
        <v>0</v>
      </c>
      <c r="S104" s="2"/>
      <c r="T104" s="2"/>
    </row>
    <row r="105" spans="4:20" collapsed="1">
      <c r="D105" s="5" t="s">
        <v>99</v>
      </c>
      <c r="F105" s="105">
        <f>SUM(F106:F120)</f>
        <v>3</v>
      </c>
      <c r="G105" s="104">
        <f t="shared" ref="G105:Q105" si="21">SUM(G106:G120)</f>
        <v>30</v>
      </c>
      <c r="H105" s="105">
        <f t="shared" si="21"/>
        <v>0</v>
      </c>
      <c r="I105" s="104">
        <f t="shared" si="21"/>
        <v>0</v>
      </c>
      <c r="J105" s="105">
        <f t="shared" si="21"/>
        <v>0</v>
      </c>
      <c r="K105" s="104">
        <f t="shared" si="21"/>
        <v>0</v>
      </c>
      <c r="L105" s="105">
        <f t="shared" si="21"/>
        <v>0</v>
      </c>
      <c r="M105" s="104">
        <f t="shared" si="21"/>
        <v>0</v>
      </c>
      <c r="N105" s="105">
        <f t="shared" si="21"/>
        <v>0</v>
      </c>
      <c r="O105" s="104">
        <f t="shared" si="21"/>
        <v>0</v>
      </c>
      <c r="P105" s="105">
        <f t="shared" si="21"/>
        <v>3</v>
      </c>
      <c r="Q105" s="104">
        <f t="shared" si="21"/>
        <v>30</v>
      </c>
      <c r="S105" s="2"/>
      <c r="T105" s="2"/>
    </row>
    <row r="106" spans="4:20" hidden="1" outlineLevel="1">
      <c r="E106" s="3" t="str">
        <f>PlayerPool!B93</f>
        <v>Daniel Vettori</v>
      </c>
      <c r="F106" s="36"/>
      <c r="G106" s="103">
        <f t="shared" si="13"/>
        <v>0</v>
      </c>
      <c r="H106" s="36"/>
      <c r="I106" s="103">
        <f t="shared" si="14"/>
        <v>0</v>
      </c>
      <c r="J106" s="36"/>
      <c r="K106" s="103">
        <f t="shared" si="15"/>
        <v>0</v>
      </c>
      <c r="L106" s="36"/>
      <c r="M106" s="103">
        <f t="shared" si="16"/>
        <v>0</v>
      </c>
      <c r="N106" s="36"/>
      <c r="O106" s="103">
        <f t="shared" si="17"/>
        <v>0</v>
      </c>
      <c r="P106" s="103">
        <f t="shared" si="18"/>
        <v>0</v>
      </c>
      <c r="Q106" s="103">
        <f t="shared" si="19"/>
        <v>0</v>
      </c>
      <c r="S106" s="2"/>
      <c r="T106" s="2"/>
    </row>
    <row r="107" spans="4:20" hidden="1" outlineLevel="1">
      <c r="E107" s="3" t="str">
        <f>PlayerPool!B94</f>
        <v>Hamish Bennett</v>
      </c>
      <c r="F107" s="36"/>
      <c r="G107" s="103">
        <f t="shared" si="13"/>
        <v>0</v>
      </c>
      <c r="H107" s="36"/>
      <c r="I107" s="103">
        <f t="shared" si="14"/>
        <v>0</v>
      </c>
      <c r="J107" s="36"/>
      <c r="K107" s="103">
        <f t="shared" si="15"/>
        <v>0</v>
      </c>
      <c r="L107" s="36"/>
      <c r="M107" s="103">
        <f t="shared" si="16"/>
        <v>0</v>
      </c>
      <c r="N107" s="36"/>
      <c r="O107" s="103">
        <f t="shared" si="17"/>
        <v>0</v>
      </c>
      <c r="P107" s="103">
        <f t="shared" si="18"/>
        <v>0</v>
      </c>
      <c r="Q107" s="103">
        <f t="shared" si="19"/>
        <v>0</v>
      </c>
      <c r="S107" s="2"/>
      <c r="T107" s="2"/>
    </row>
    <row r="108" spans="4:20" hidden="1" outlineLevel="1">
      <c r="E108" s="3" t="str">
        <f>PlayerPool!B95</f>
        <v>James Franklin</v>
      </c>
      <c r="F108" s="36"/>
      <c r="G108" s="103">
        <f t="shared" si="13"/>
        <v>0</v>
      </c>
      <c r="H108" s="36"/>
      <c r="I108" s="103">
        <f t="shared" si="14"/>
        <v>0</v>
      </c>
      <c r="J108" s="36"/>
      <c r="K108" s="103">
        <f t="shared" si="15"/>
        <v>0</v>
      </c>
      <c r="L108" s="36"/>
      <c r="M108" s="103">
        <f t="shared" si="16"/>
        <v>0</v>
      </c>
      <c r="N108" s="36"/>
      <c r="O108" s="103">
        <f t="shared" si="17"/>
        <v>0</v>
      </c>
      <c r="P108" s="103">
        <f t="shared" si="18"/>
        <v>0</v>
      </c>
      <c r="Q108" s="103">
        <f t="shared" si="19"/>
        <v>0</v>
      </c>
      <c r="S108" s="2"/>
      <c r="T108" s="2"/>
    </row>
    <row r="109" spans="4:20" hidden="1" outlineLevel="1">
      <c r="E109" s="3" t="str">
        <f>PlayerPool!B96</f>
        <v>Martin Guptill</v>
      </c>
      <c r="F109" s="36"/>
      <c r="G109" s="103">
        <f t="shared" si="13"/>
        <v>0</v>
      </c>
      <c r="H109" s="36"/>
      <c r="I109" s="103">
        <f t="shared" si="14"/>
        <v>0</v>
      </c>
      <c r="J109" s="36"/>
      <c r="K109" s="103">
        <f t="shared" si="15"/>
        <v>0</v>
      </c>
      <c r="L109" s="36"/>
      <c r="M109" s="103">
        <f t="shared" si="16"/>
        <v>0</v>
      </c>
      <c r="N109" s="36"/>
      <c r="O109" s="103">
        <f t="shared" si="17"/>
        <v>0</v>
      </c>
      <c r="P109" s="103">
        <f t="shared" si="18"/>
        <v>0</v>
      </c>
      <c r="Q109" s="103">
        <f t="shared" si="19"/>
        <v>0</v>
      </c>
      <c r="S109" s="2"/>
      <c r="T109" s="2"/>
    </row>
    <row r="110" spans="4:20" hidden="1" outlineLevel="1">
      <c r="E110" s="3" t="str">
        <f>PlayerPool!B97</f>
        <v>Jamie How</v>
      </c>
      <c r="F110" s="36">
        <v>1</v>
      </c>
      <c r="G110" s="103">
        <f t="shared" si="13"/>
        <v>10</v>
      </c>
      <c r="H110" s="36"/>
      <c r="I110" s="103">
        <f t="shared" si="14"/>
        <v>0</v>
      </c>
      <c r="J110" s="36"/>
      <c r="K110" s="103">
        <f t="shared" si="15"/>
        <v>0</v>
      </c>
      <c r="L110" s="36"/>
      <c r="M110" s="103">
        <f t="shared" si="16"/>
        <v>0</v>
      </c>
      <c r="N110" s="36"/>
      <c r="O110" s="103">
        <f t="shared" si="17"/>
        <v>0</v>
      </c>
      <c r="P110" s="103">
        <f t="shared" si="18"/>
        <v>1</v>
      </c>
      <c r="Q110" s="103">
        <f t="shared" si="19"/>
        <v>10</v>
      </c>
      <c r="S110" s="2"/>
      <c r="T110" s="2"/>
    </row>
    <row r="111" spans="4:20" hidden="1" outlineLevel="1">
      <c r="E111" s="3" t="str">
        <f>PlayerPool!B98</f>
        <v>Brendon McCullum</v>
      </c>
      <c r="F111" s="36">
        <v>1</v>
      </c>
      <c r="G111" s="103">
        <f t="shared" si="13"/>
        <v>10</v>
      </c>
      <c r="H111" s="36"/>
      <c r="I111" s="103">
        <f t="shared" si="14"/>
        <v>0</v>
      </c>
      <c r="J111" s="36"/>
      <c r="K111" s="103">
        <f t="shared" si="15"/>
        <v>0</v>
      </c>
      <c r="L111" s="36"/>
      <c r="M111" s="103">
        <f t="shared" si="16"/>
        <v>0</v>
      </c>
      <c r="N111" s="36"/>
      <c r="O111" s="103">
        <f t="shared" si="17"/>
        <v>0</v>
      </c>
      <c r="P111" s="103">
        <f t="shared" si="18"/>
        <v>1</v>
      </c>
      <c r="Q111" s="103">
        <f t="shared" si="19"/>
        <v>10</v>
      </c>
      <c r="S111" s="2"/>
      <c r="T111" s="2"/>
    </row>
    <row r="112" spans="4:20" hidden="1" outlineLevel="1">
      <c r="E112" s="3" t="str">
        <f>PlayerPool!B99</f>
        <v>Nathan McCullum</v>
      </c>
      <c r="F112" s="36"/>
      <c r="G112" s="103">
        <f t="shared" si="13"/>
        <v>0</v>
      </c>
      <c r="H112" s="36"/>
      <c r="I112" s="103">
        <f t="shared" si="14"/>
        <v>0</v>
      </c>
      <c r="J112" s="36"/>
      <c r="K112" s="103">
        <f t="shared" si="15"/>
        <v>0</v>
      </c>
      <c r="L112" s="36"/>
      <c r="M112" s="103">
        <f t="shared" si="16"/>
        <v>0</v>
      </c>
      <c r="N112" s="36"/>
      <c r="O112" s="103">
        <f t="shared" si="17"/>
        <v>0</v>
      </c>
      <c r="P112" s="103">
        <f t="shared" si="18"/>
        <v>0</v>
      </c>
      <c r="Q112" s="103">
        <f t="shared" si="19"/>
        <v>0</v>
      </c>
      <c r="S112" s="2"/>
      <c r="T112" s="2"/>
    </row>
    <row r="113" spans="4:20" hidden="1" outlineLevel="1">
      <c r="E113" s="3" t="str">
        <f>PlayerPool!B100</f>
        <v>Kyle Mills</v>
      </c>
      <c r="F113" s="36"/>
      <c r="G113" s="103">
        <f t="shared" si="13"/>
        <v>0</v>
      </c>
      <c r="H113" s="36"/>
      <c r="I113" s="103">
        <f t="shared" si="14"/>
        <v>0</v>
      </c>
      <c r="J113" s="36"/>
      <c r="K113" s="103">
        <f t="shared" si="15"/>
        <v>0</v>
      </c>
      <c r="L113" s="36"/>
      <c r="M113" s="103">
        <f t="shared" si="16"/>
        <v>0</v>
      </c>
      <c r="N113" s="36"/>
      <c r="O113" s="103">
        <f t="shared" si="17"/>
        <v>0</v>
      </c>
      <c r="P113" s="103">
        <f t="shared" si="18"/>
        <v>0</v>
      </c>
      <c r="Q113" s="103">
        <f t="shared" si="19"/>
        <v>0</v>
      </c>
      <c r="S113" s="2"/>
      <c r="T113" s="2"/>
    </row>
    <row r="114" spans="4:20" hidden="1" outlineLevel="1">
      <c r="E114" s="3" t="str">
        <f>PlayerPool!B101</f>
        <v>Jacob Oram</v>
      </c>
      <c r="F114" s="36"/>
      <c r="G114" s="103">
        <f t="shared" si="13"/>
        <v>0</v>
      </c>
      <c r="H114" s="36"/>
      <c r="I114" s="103">
        <f t="shared" si="14"/>
        <v>0</v>
      </c>
      <c r="J114" s="36"/>
      <c r="K114" s="103">
        <f t="shared" si="15"/>
        <v>0</v>
      </c>
      <c r="L114" s="36"/>
      <c r="M114" s="103">
        <f t="shared" si="16"/>
        <v>0</v>
      </c>
      <c r="N114" s="36"/>
      <c r="O114" s="103">
        <f t="shared" si="17"/>
        <v>0</v>
      </c>
      <c r="P114" s="103">
        <f t="shared" si="18"/>
        <v>0</v>
      </c>
      <c r="Q114" s="103">
        <f t="shared" si="19"/>
        <v>0</v>
      </c>
      <c r="S114" s="2"/>
      <c r="T114" s="2"/>
    </row>
    <row r="115" spans="4:20" hidden="1" outlineLevel="1">
      <c r="E115" s="3" t="str">
        <f>PlayerPool!B102</f>
        <v>Jesse Ryder</v>
      </c>
      <c r="F115" s="36"/>
      <c r="G115" s="103">
        <f t="shared" si="13"/>
        <v>0</v>
      </c>
      <c r="H115" s="36"/>
      <c r="I115" s="103">
        <f t="shared" si="14"/>
        <v>0</v>
      </c>
      <c r="J115" s="36"/>
      <c r="K115" s="103">
        <f t="shared" si="15"/>
        <v>0</v>
      </c>
      <c r="L115" s="36"/>
      <c r="M115" s="103">
        <f t="shared" si="16"/>
        <v>0</v>
      </c>
      <c r="N115" s="36"/>
      <c r="O115" s="103">
        <f t="shared" si="17"/>
        <v>0</v>
      </c>
      <c r="P115" s="103">
        <f t="shared" si="18"/>
        <v>0</v>
      </c>
      <c r="Q115" s="103">
        <f t="shared" si="19"/>
        <v>0</v>
      </c>
      <c r="S115" s="2"/>
      <c r="T115" s="2"/>
    </row>
    <row r="116" spans="4:20" hidden="1" outlineLevel="1">
      <c r="E116" s="3" t="str">
        <f>PlayerPool!B103</f>
        <v>Tim Southee</v>
      </c>
      <c r="F116" s="36"/>
      <c r="G116" s="103">
        <f t="shared" si="13"/>
        <v>0</v>
      </c>
      <c r="H116" s="36"/>
      <c r="I116" s="103">
        <f t="shared" si="14"/>
        <v>0</v>
      </c>
      <c r="J116" s="36"/>
      <c r="K116" s="103">
        <f t="shared" si="15"/>
        <v>0</v>
      </c>
      <c r="L116" s="36"/>
      <c r="M116" s="103">
        <f t="shared" si="16"/>
        <v>0</v>
      </c>
      <c r="N116" s="36"/>
      <c r="O116" s="103">
        <f t="shared" si="17"/>
        <v>0</v>
      </c>
      <c r="P116" s="103">
        <f t="shared" si="18"/>
        <v>0</v>
      </c>
      <c r="Q116" s="103">
        <f t="shared" si="19"/>
        <v>0</v>
      </c>
      <c r="S116" s="2"/>
      <c r="T116" s="2"/>
    </row>
    <row r="117" spans="4:20" hidden="1" outlineLevel="1">
      <c r="E117" s="3" t="str">
        <f>PlayerPool!B104</f>
        <v>Scott Styris</v>
      </c>
      <c r="F117" s="36"/>
      <c r="G117" s="103">
        <f t="shared" si="13"/>
        <v>0</v>
      </c>
      <c r="H117" s="36"/>
      <c r="I117" s="103">
        <f t="shared" si="14"/>
        <v>0</v>
      </c>
      <c r="J117" s="36"/>
      <c r="K117" s="103">
        <f t="shared" si="15"/>
        <v>0</v>
      </c>
      <c r="L117" s="36"/>
      <c r="M117" s="103">
        <f t="shared" si="16"/>
        <v>0</v>
      </c>
      <c r="N117" s="36"/>
      <c r="O117" s="103">
        <f t="shared" si="17"/>
        <v>0</v>
      </c>
      <c r="P117" s="103">
        <f t="shared" si="18"/>
        <v>0</v>
      </c>
      <c r="Q117" s="103">
        <f t="shared" si="19"/>
        <v>0</v>
      </c>
      <c r="S117" s="2"/>
      <c r="T117" s="2"/>
    </row>
    <row r="118" spans="4:20" hidden="1" outlineLevel="1">
      <c r="E118" s="3" t="str">
        <f>PlayerPool!B105</f>
        <v>Ross Taylor</v>
      </c>
      <c r="F118" s="36">
        <v>1</v>
      </c>
      <c r="G118" s="103">
        <f t="shared" si="13"/>
        <v>10</v>
      </c>
      <c r="H118" s="36"/>
      <c r="I118" s="103">
        <f t="shared" si="14"/>
        <v>0</v>
      </c>
      <c r="J118" s="36"/>
      <c r="K118" s="103">
        <f t="shared" si="15"/>
        <v>0</v>
      </c>
      <c r="L118" s="36"/>
      <c r="M118" s="103">
        <f t="shared" si="16"/>
        <v>0</v>
      </c>
      <c r="N118" s="36"/>
      <c r="O118" s="103">
        <f t="shared" si="17"/>
        <v>0</v>
      </c>
      <c r="P118" s="103">
        <f t="shared" si="18"/>
        <v>1</v>
      </c>
      <c r="Q118" s="103">
        <f t="shared" si="19"/>
        <v>10</v>
      </c>
      <c r="S118" s="2"/>
      <c r="T118" s="2"/>
    </row>
    <row r="119" spans="4:20" hidden="1" outlineLevel="1">
      <c r="E119" s="3" t="str">
        <f>PlayerPool!B106</f>
        <v>Kane Williamson</v>
      </c>
      <c r="F119" s="36"/>
      <c r="G119" s="103">
        <f t="shared" si="13"/>
        <v>0</v>
      </c>
      <c r="H119" s="36"/>
      <c r="I119" s="103">
        <f t="shared" si="14"/>
        <v>0</v>
      </c>
      <c r="J119" s="36"/>
      <c r="K119" s="103">
        <f t="shared" si="15"/>
        <v>0</v>
      </c>
      <c r="L119" s="36"/>
      <c r="M119" s="103">
        <f t="shared" si="16"/>
        <v>0</v>
      </c>
      <c r="N119" s="36"/>
      <c r="O119" s="103">
        <f t="shared" si="17"/>
        <v>0</v>
      </c>
      <c r="P119" s="103">
        <f t="shared" si="18"/>
        <v>0</v>
      </c>
      <c r="Q119" s="103">
        <f t="shared" si="19"/>
        <v>0</v>
      </c>
      <c r="S119" s="2"/>
      <c r="T119" s="2"/>
    </row>
    <row r="120" spans="4:20" hidden="1" outlineLevel="1">
      <c r="E120" s="3" t="str">
        <f>PlayerPool!B107</f>
        <v>Luke Woodcock</v>
      </c>
      <c r="F120" s="36"/>
      <c r="G120" s="103">
        <f t="shared" si="13"/>
        <v>0</v>
      </c>
      <c r="H120" s="36"/>
      <c r="I120" s="103">
        <f t="shared" si="14"/>
        <v>0</v>
      </c>
      <c r="J120" s="36"/>
      <c r="K120" s="103">
        <f t="shared" si="15"/>
        <v>0</v>
      </c>
      <c r="L120" s="36"/>
      <c r="M120" s="103">
        <f t="shared" si="16"/>
        <v>0</v>
      </c>
      <c r="N120" s="36"/>
      <c r="O120" s="103">
        <f t="shared" si="17"/>
        <v>0</v>
      </c>
      <c r="P120" s="103">
        <f t="shared" si="18"/>
        <v>0</v>
      </c>
      <c r="Q120" s="103">
        <f t="shared" si="19"/>
        <v>0</v>
      </c>
      <c r="S120" s="2"/>
      <c r="T120" s="2"/>
    </row>
    <row r="121" spans="4:20" collapsed="1">
      <c r="D121" s="5" t="s">
        <v>102</v>
      </c>
      <c r="F121" s="105">
        <f>SUM(F122:F136)</f>
        <v>0</v>
      </c>
      <c r="G121" s="104">
        <f t="shared" ref="G121:Q121" si="22">SUM(G122:G136)</f>
        <v>0</v>
      </c>
      <c r="H121" s="105">
        <f t="shared" si="22"/>
        <v>0</v>
      </c>
      <c r="I121" s="104">
        <f t="shared" si="22"/>
        <v>0</v>
      </c>
      <c r="J121" s="105">
        <f t="shared" si="22"/>
        <v>0</v>
      </c>
      <c r="K121" s="104">
        <f t="shared" si="22"/>
        <v>0</v>
      </c>
      <c r="L121" s="105">
        <f t="shared" si="22"/>
        <v>0</v>
      </c>
      <c r="M121" s="104">
        <f t="shared" si="22"/>
        <v>0</v>
      </c>
      <c r="N121" s="105">
        <f t="shared" si="22"/>
        <v>0</v>
      </c>
      <c r="O121" s="104">
        <f t="shared" si="22"/>
        <v>0</v>
      </c>
      <c r="P121" s="105">
        <f t="shared" si="22"/>
        <v>0</v>
      </c>
      <c r="Q121" s="104">
        <f t="shared" si="22"/>
        <v>0</v>
      </c>
      <c r="S121" s="2"/>
      <c r="T121" s="2"/>
    </row>
    <row r="122" spans="4:20" hidden="1" outlineLevel="1">
      <c r="E122" s="3" t="str">
        <f>PlayerPool!B108</f>
        <v>Darren Sammy</v>
      </c>
      <c r="F122" s="36"/>
      <c r="G122" s="103">
        <f t="shared" si="13"/>
        <v>0</v>
      </c>
      <c r="H122" s="36"/>
      <c r="I122" s="103">
        <f t="shared" si="14"/>
        <v>0</v>
      </c>
      <c r="J122" s="36"/>
      <c r="K122" s="103">
        <f t="shared" si="15"/>
        <v>0</v>
      </c>
      <c r="L122" s="36"/>
      <c r="M122" s="103">
        <f t="shared" si="16"/>
        <v>0</v>
      </c>
      <c r="N122" s="36"/>
      <c r="O122" s="103">
        <f t="shared" si="17"/>
        <v>0</v>
      </c>
      <c r="P122" s="103">
        <f t="shared" si="18"/>
        <v>0</v>
      </c>
      <c r="Q122" s="103">
        <f t="shared" si="19"/>
        <v>0</v>
      </c>
      <c r="S122" s="2"/>
      <c r="T122" s="2"/>
    </row>
    <row r="123" spans="4:20" hidden="1" outlineLevel="1">
      <c r="E123" s="3" t="str">
        <f>PlayerPool!B109</f>
        <v>Adrian Barath</v>
      </c>
      <c r="F123" s="36"/>
      <c r="G123" s="103">
        <f t="shared" si="13"/>
        <v>0</v>
      </c>
      <c r="H123" s="36"/>
      <c r="I123" s="103">
        <f t="shared" si="14"/>
        <v>0</v>
      </c>
      <c r="J123" s="36"/>
      <c r="K123" s="103">
        <f t="shared" si="15"/>
        <v>0</v>
      </c>
      <c r="L123" s="36"/>
      <c r="M123" s="103">
        <f t="shared" si="16"/>
        <v>0</v>
      </c>
      <c r="N123" s="36"/>
      <c r="O123" s="103">
        <f t="shared" si="17"/>
        <v>0</v>
      </c>
      <c r="P123" s="103">
        <f t="shared" si="18"/>
        <v>0</v>
      </c>
      <c r="Q123" s="103">
        <f t="shared" si="19"/>
        <v>0</v>
      </c>
      <c r="S123" s="2"/>
      <c r="T123" s="2"/>
    </row>
    <row r="124" spans="4:20" hidden="1" outlineLevel="1">
      <c r="E124" s="3" t="str">
        <f>PlayerPool!B110</f>
        <v>Carlton Baugh</v>
      </c>
      <c r="F124" s="36"/>
      <c r="G124" s="103">
        <f t="shared" si="13"/>
        <v>0</v>
      </c>
      <c r="H124" s="36"/>
      <c r="I124" s="103">
        <f t="shared" si="14"/>
        <v>0</v>
      </c>
      <c r="J124" s="36"/>
      <c r="K124" s="103">
        <f t="shared" si="15"/>
        <v>0</v>
      </c>
      <c r="L124" s="36"/>
      <c r="M124" s="103">
        <f t="shared" si="16"/>
        <v>0</v>
      </c>
      <c r="N124" s="36"/>
      <c r="O124" s="103">
        <f t="shared" si="17"/>
        <v>0</v>
      </c>
      <c r="P124" s="103">
        <f t="shared" si="18"/>
        <v>0</v>
      </c>
      <c r="Q124" s="103">
        <f t="shared" si="19"/>
        <v>0</v>
      </c>
      <c r="S124" s="2"/>
      <c r="T124" s="2"/>
    </row>
    <row r="125" spans="4:20" hidden="1" outlineLevel="1">
      <c r="E125" s="3" t="str">
        <f>PlayerPool!B111</f>
        <v>Sulieman Benn</v>
      </c>
      <c r="F125" s="36"/>
      <c r="G125" s="103">
        <f t="shared" si="13"/>
        <v>0</v>
      </c>
      <c r="H125" s="36"/>
      <c r="I125" s="103">
        <f t="shared" si="14"/>
        <v>0</v>
      </c>
      <c r="J125" s="36"/>
      <c r="K125" s="103">
        <f t="shared" si="15"/>
        <v>0</v>
      </c>
      <c r="L125" s="36"/>
      <c r="M125" s="103">
        <f t="shared" si="16"/>
        <v>0</v>
      </c>
      <c r="N125" s="36"/>
      <c r="O125" s="103">
        <f t="shared" si="17"/>
        <v>0</v>
      </c>
      <c r="P125" s="103">
        <f t="shared" si="18"/>
        <v>0</v>
      </c>
      <c r="Q125" s="103">
        <f t="shared" si="19"/>
        <v>0</v>
      </c>
      <c r="S125" s="2"/>
      <c r="T125" s="2"/>
    </row>
    <row r="126" spans="4:20" hidden="1" outlineLevel="1">
      <c r="E126" s="3" t="str">
        <f>PlayerPool!B112</f>
        <v>Dwayne Bravo</v>
      </c>
      <c r="F126" s="36"/>
      <c r="G126" s="103">
        <f t="shared" si="13"/>
        <v>0</v>
      </c>
      <c r="H126" s="36"/>
      <c r="I126" s="103">
        <f t="shared" si="14"/>
        <v>0</v>
      </c>
      <c r="J126" s="36"/>
      <c r="K126" s="103">
        <f t="shared" si="15"/>
        <v>0</v>
      </c>
      <c r="L126" s="36"/>
      <c r="M126" s="103">
        <f t="shared" si="16"/>
        <v>0</v>
      </c>
      <c r="N126" s="36"/>
      <c r="O126" s="103">
        <f t="shared" si="17"/>
        <v>0</v>
      </c>
      <c r="P126" s="103">
        <f t="shared" si="18"/>
        <v>0</v>
      </c>
      <c r="Q126" s="103">
        <f t="shared" si="19"/>
        <v>0</v>
      </c>
      <c r="S126" s="2"/>
      <c r="T126" s="2"/>
    </row>
    <row r="127" spans="4:20" hidden="1" outlineLevel="1">
      <c r="E127" s="3" t="str">
        <f>PlayerPool!B113</f>
        <v>Darren Bravo</v>
      </c>
      <c r="F127" s="36"/>
      <c r="G127" s="103">
        <f t="shared" si="13"/>
        <v>0</v>
      </c>
      <c r="H127" s="36"/>
      <c r="I127" s="103">
        <f t="shared" si="14"/>
        <v>0</v>
      </c>
      <c r="J127" s="36"/>
      <c r="K127" s="103">
        <f t="shared" si="15"/>
        <v>0</v>
      </c>
      <c r="L127" s="36"/>
      <c r="M127" s="103">
        <f t="shared" si="16"/>
        <v>0</v>
      </c>
      <c r="N127" s="36"/>
      <c r="O127" s="103">
        <f t="shared" si="17"/>
        <v>0</v>
      </c>
      <c r="P127" s="103">
        <f t="shared" si="18"/>
        <v>0</v>
      </c>
      <c r="Q127" s="103">
        <f t="shared" si="19"/>
        <v>0</v>
      </c>
      <c r="S127" s="2"/>
      <c r="T127" s="2"/>
    </row>
    <row r="128" spans="4:20" hidden="1" outlineLevel="1">
      <c r="E128" s="3" t="str">
        <f>PlayerPool!B114</f>
        <v>Shivnarine Chanderpaul</v>
      </c>
      <c r="F128" s="36"/>
      <c r="G128" s="103">
        <f t="shared" si="13"/>
        <v>0</v>
      </c>
      <c r="H128" s="36"/>
      <c r="I128" s="103">
        <f t="shared" si="14"/>
        <v>0</v>
      </c>
      <c r="J128" s="36"/>
      <c r="K128" s="103">
        <f t="shared" si="15"/>
        <v>0</v>
      </c>
      <c r="L128" s="36"/>
      <c r="M128" s="103">
        <f t="shared" si="16"/>
        <v>0</v>
      </c>
      <c r="N128" s="36"/>
      <c r="O128" s="103">
        <f t="shared" si="17"/>
        <v>0</v>
      </c>
      <c r="P128" s="103">
        <f t="shared" si="18"/>
        <v>0</v>
      </c>
      <c r="Q128" s="103">
        <f t="shared" si="19"/>
        <v>0</v>
      </c>
      <c r="S128" s="2"/>
      <c r="T128" s="2"/>
    </row>
    <row r="129" spans="4:20" hidden="1" outlineLevel="1">
      <c r="E129" s="3" t="str">
        <f>PlayerPool!B115</f>
        <v>Chris Gayle</v>
      </c>
      <c r="F129" s="36"/>
      <c r="G129" s="103">
        <f t="shared" si="13"/>
        <v>0</v>
      </c>
      <c r="H129" s="36"/>
      <c r="I129" s="103">
        <f t="shared" si="14"/>
        <v>0</v>
      </c>
      <c r="J129" s="36"/>
      <c r="K129" s="103">
        <f t="shared" si="15"/>
        <v>0</v>
      </c>
      <c r="L129" s="36"/>
      <c r="M129" s="103">
        <f t="shared" si="16"/>
        <v>0</v>
      </c>
      <c r="N129" s="36"/>
      <c r="O129" s="103">
        <f t="shared" si="17"/>
        <v>0</v>
      </c>
      <c r="P129" s="103">
        <f t="shared" si="18"/>
        <v>0</v>
      </c>
      <c r="Q129" s="103">
        <f t="shared" si="19"/>
        <v>0</v>
      </c>
      <c r="S129" s="2"/>
      <c r="T129" s="2"/>
    </row>
    <row r="130" spans="4:20" hidden="1" outlineLevel="1">
      <c r="E130" s="3" t="str">
        <f>PlayerPool!B116</f>
        <v>Nikita Miller</v>
      </c>
      <c r="F130" s="36"/>
      <c r="G130" s="103">
        <f t="shared" si="13"/>
        <v>0</v>
      </c>
      <c r="H130" s="36"/>
      <c r="I130" s="103">
        <f t="shared" si="14"/>
        <v>0</v>
      </c>
      <c r="J130" s="36"/>
      <c r="K130" s="103">
        <f t="shared" si="15"/>
        <v>0</v>
      </c>
      <c r="L130" s="36"/>
      <c r="M130" s="103">
        <f t="shared" si="16"/>
        <v>0</v>
      </c>
      <c r="N130" s="36"/>
      <c r="O130" s="103">
        <f t="shared" si="17"/>
        <v>0</v>
      </c>
      <c r="P130" s="103">
        <f t="shared" si="18"/>
        <v>0</v>
      </c>
      <c r="Q130" s="103">
        <f t="shared" si="19"/>
        <v>0</v>
      </c>
      <c r="S130" s="2"/>
      <c r="T130" s="2"/>
    </row>
    <row r="131" spans="4:20" hidden="1" outlineLevel="1">
      <c r="E131" s="3" t="str">
        <f>PlayerPool!B117</f>
        <v>Kieron Pollard</v>
      </c>
      <c r="F131" s="36"/>
      <c r="G131" s="103">
        <f t="shared" si="13"/>
        <v>0</v>
      </c>
      <c r="H131" s="36"/>
      <c r="I131" s="103">
        <f t="shared" si="14"/>
        <v>0</v>
      </c>
      <c r="J131" s="36"/>
      <c r="K131" s="103">
        <f t="shared" si="15"/>
        <v>0</v>
      </c>
      <c r="L131" s="36"/>
      <c r="M131" s="103">
        <f t="shared" si="16"/>
        <v>0</v>
      </c>
      <c r="N131" s="36"/>
      <c r="O131" s="103">
        <f t="shared" si="17"/>
        <v>0</v>
      </c>
      <c r="P131" s="103">
        <f t="shared" si="18"/>
        <v>0</v>
      </c>
      <c r="Q131" s="103">
        <f t="shared" si="19"/>
        <v>0</v>
      </c>
      <c r="S131" s="2"/>
      <c r="T131" s="2"/>
    </row>
    <row r="132" spans="4:20" hidden="1" outlineLevel="1">
      <c r="E132" s="3" t="str">
        <f>PlayerPool!B118</f>
        <v>Ravi Rampaul</v>
      </c>
      <c r="F132" s="36"/>
      <c r="G132" s="103">
        <f t="shared" si="13"/>
        <v>0</v>
      </c>
      <c r="H132" s="36"/>
      <c r="I132" s="103">
        <f t="shared" si="14"/>
        <v>0</v>
      </c>
      <c r="J132" s="36"/>
      <c r="K132" s="103">
        <f t="shared" si="15"/>
        <v>0</v>
      </c>
      <c r="L132" s="36"/>
      <c r="M132" s="103">
        <f t="shared" si="16"/>
        <v>0</v>
      </c>
      <c r="N132" s="36"/>
      <c r="O132" s="103">
        <f t="shared" si="17"/>
        <v>0</v>
      </c>
      <c r="P132" s="103">
        <f t="shared" si="18"/>
        <v>0</v>
      </c>
      <c r="Q132" s="103">
        <f t="shared" si="19"/>
        <v>0</v>
      </c>
      <c r="S132" s="2"/>
      <c r="T132" s="2"/>
    </row>
    <row r="133" spans="4:20" hidden="1" outlineLevel="1">
      <c r="E133" s="3" t="str">
        <f>PlayerPool!B119</f>
        <v>Kemar Roach</v>
      </c>
      <c r="F133" s="36"/>
      <c r="G133" s="103">
        <f t="shared" si="13"/>
        <v>0</v>
      </c>
      <c r="H133" s="36"/>
      <c r="I133" s="103">
        <f t="shared" si="14"/>
        <v>0</v>
      </c>
      <c r="J133" s="36"/>
      <c r="K133" s="103">
        <f t="shared" si="15"/>
        <v>0</v>
      </c>
      <c r="L133" s="36"/>
      <c r="M133" s="103">
        <f t="shared" si="16"/>
        <v>0</v>
      </c>
      <c r="N133" s="36"/>
      <c r="O133" s="103">
        <f t="shared" si="17"/>
        <v>0</v>
      </c>
      <c r="P133" s="103">
        <f t="shared" si="18"/>
        <v>0</v>
      </c>
      <c r="Q133" s="103">
        <f t="shared" si="19"/>
        <v>0</v>
      </c>
      <c r="S133" s="2"/>
      <c r="T133" s="2"/>
    </row>
    <row r="134" spans="4:20" hidden="1" outlineLevel="1">
      <c r="E134" s="3" t="str">
        <f>PlayerPool!B120</f>
        <v>Andre Russell</v>
      </c>
      <c r="F134" s="36"/>
      <c r="G134" s="103">
        <f t="shared" si="13"/>
        <v>0</v>
      </c>
      <c r="H134" s="36"/>
      <c r="I134" s="103">
        <f t="shared" si="14"/>
        <v>0</v>
      </c>
      <c r="J134" s="36"/>
      <c r="K134" s="103">
        <f t="shared" si="15"/>
        <v>0</v>
      </c>
      <c r="L134" s="36"/>
      <c r="M134" s="103">
        <f t="shared" si="16"/>
        <v>0</v>
      </c>
      <c r="N134" s="36"/>
      <c r="O134" s="103">
        <f t="shared" si="17"/>
        <v>0</v>
      </c>
      <c r="P134" s="103">
        <f t="shared" si="18"/>
        <v>0</v>
      </c>
      <c r="Q134" s="103">
        <f t="shared" si="19"/>
        <v>0</v>
      </c>
      <c r="S134" s="2"/>
      <c r="T134" s="2"/>
    </row>
    <row r="135" spans="4:20" hidden="1" outlineLevel="1">
      <c r="E135" s="3" t="str">
        <f>PlayerPool!B121</f>
        <v>Ramnaresh Sarwan</v>
      </c>
      <c r="F135" s="36"/>
      <c r="G135" s="103">
        <f t="shared" si="13"/>
        <v>0</v>
      </c>
      <c r="H135" s="36"/>
      <c r="I135" s="103">
        <f t="shared" si="14"/>
        <v>0</v>
      </c>
      <c r="J135" s="36"/>
      <c r="K135" s="103">
        <f t="shared" si="15"/>
        <v>0</v>
      </c>
      <c r="L135" s="36"/>
      <c r="M135" s="103">
        <f t="shared" si="16"/>
        <v>0</v>
      </c>
      <c r="N135" s="36"/>
      <c r="O135" s="103">
        <f t="shared" si="17"/>
        <v>0</v>
      </c>
      <c r="P135" s="103">
        <f t="shared" si="18"/>
        <v>0</v>
      </c>
      <c r="Q135" s="103">
        <f t="shared" si="19"/>
        <v>0</v>
      </c>
      <c r="S135" s="2"/>
      <c r="T135" s="2"/>
    </row>
    <row r="136" spans="4:20" hidden="1" outlineLevel="1">
      <c r="E136" s="3" t="str">
        <f>PlayerPool!B122</f>
        <v>Devon Smith</v>
      </c>
      <c r="F136" s="36"/>
      <c r="G136" s="103">
        <f t="shared" si="13"/>
        <v>0</v>
      </c>
      <c r="H136" s="36"/>
      <c r="I136" s="103">
        <f t="shared" si="14"/>
        <v>0</v>
      </c>
      <c r="J136" s="36"/>
      <c r="K136" s="103">
        <f t="shared" si="15"/>
        <v>0</v>
      </c>
      <c r="L136" s="36"/>
      <c r="M136" s="103">
        <f t="shared" si="16"/>
        <v>0</v>
      </c>
      <c r="N136" s="36"/>
      <c r="O136" s="103">
        <f t="shared" si="17"/>
        <v>0</v>
      </c>
      <c r="P136" s="103">
        <f t="shared" si="18"/>
        <v>0</v>
      </c>
      <c r="Q136" s="103">
        <f t="shared" si="19"/>
        <v>0</v>
      </c>
      <c r="S136" s="2"/>
      <c r="T136" s="2"/>
    </row>
    <row r="137" spans="4:20" collapsed="1">
      <c r="D137" s="5" t="s">
        <v>101</v>
      </c>
      <c r="F137" s="105">
        <f>SUM(F138:F152)</f>
        <v>3</v>
      </c>
      <c r="G137" s="104">
        <f t="shared" ref="G137:Q137" si="23">SUM(G138:G152)</f>
        <v>30</v>
      </c>
      <c r="H137" s="105">
        <f t="shared" si="23"/>
        <v>0</v>
      </c>
      <c r="I137" s="104">
        <f t="shared" si="23"/>
        <v>0</v>
      </c>
      <c r="J137" s="105">
        <f t="shared" si="23"/>
        <v>0</v>
      </c>
      <c r="K137" s="104">
        <f t="shared" si="23"/>
        <v>0</v>
      </c>
      <c r="L137" s="105">
        <f t="shared" si="23"/>
        <v>0</v>
      </c>
      <c r="M137" s="104">
        <f t="shared" si="23"/>
        <v>0</v>
      </c>
      <c r="N137" s="105">
        <f t="shared" si="23"/>
        <v>0</v>
      </c>
      <c r="O137" s="104">
        <f t="shared" si="23"/>
        <v>0</v>
      </c>
      <c r="P137" s="105">
        <f t="shared" si="23"/>
        <v>3</v>
      </c>
      <c r="Q137" s="104">
        <f t="shared" si="23"/>
        <v>30</v>
      </c>
    </row>
    <row r="138" spans="4:20" hidden="1" outlineLevel="1">
      <c r="E138" s="3" t="str">
        <f>PlayerPool!B123</f>
        <v>Shakib Al Hasan</v>
      </c>
      <c r="F138" s="36"/>
      <c r="G138" s="38">
        <f t="shared" si="13"/>
        <v>0</v>
      </c>
      <c r="H138" s="36"/>
      <c r="I138" s="38">
        <f t="shared" si="14"/>
        <v>0</v>
      </c>
      <c r="J138" s="36"/>
      <c r="K138" s="38">
        <f t="shared" si="15"/>
        <v>0</v>
      </c>
      <c r="L138" s="36"/>
      <c r="M138" s="38">
        <f t="shared" si="16"/>
        <v>0</v>
      </c>
      <c r="N138" s="36"/>
      <c r="O138" s="38">
        <f t="shared" si="17"/>
        <v>0</v>
      </c>
      <c r="P138" s="36">
        <f t="shared" si="18"/>
        <v>0</v>
      </c>
      <c r="Q138" s="36">
        <f t="shared" si="19"/>
        <v>0</v>
      </c>
    </row>
    <row r="139" spans="4:20" hidden="1" outlineLevel="1">
      <c r="E139" s="3" t="str">
        <f>PlayerPool!B124</f>
        <v>Tamim Iqbal</v>
      </c>
      <c r="F139" s="36"/>
      <c r="G139" s="38">
        <f t="shared" ref="G139:G152" si="24">F139*$C$3</f>
        <v>0</v>
      </c>
      <c r="H139" s="36"/>
      <c r="I139" s="38">
        <f t="shared" ref="I139:I152" si="25">H139*$C$3</f>
        <v>0</v>
      </c>
      <c r="J139" s="36"/>
      <c r="K139" s="38">
        <f t="shared" ref="K139:K152" si="26">J139*$C$3</f>
        <v>0</v>
      </c>
      <c r="L139" s="36"/>
      <c r="M139" s="38">
        <f t="shared" ref="M139:M152" si="27">L139*$C$3</f>
        <v>0</v>
      </c>
      <c r="N139" s="36"/>
      <c r="O139" s="38">
        <f t="shared" ref="O139:O152" si="28">N139*$C$3</f>
        <v>0</v>
      </c>
      <c r="P139" s="36">
        <f t="shared" ref="P139:P152" si="29">SUM(F139,H139,J139,L139,N139)</f>
        <v>0</v>
      </c>
      <c r="Q139" s="36">
        <f t="shared" ref="Q139:Q152" si="30">SUM(G139,I139,K139,M139,O139)</f>
        <v>0</v>
      </c>
    </row>
    <row r="140" spans="4:20" hidden="1" outlineLevel="1">
      <c r="E140" s="3" t="str">
        <f>PlayerPool!B125</f>
        <v>Abdur Razzak</v>
      </c>
      <c r="F140" s="36">
        <v>1</v>
      </c>
      <c r="G140" s="38">
        <f t="shared" si="24"/>
        <v>10</v>
      </c>
      <c r="H140" s="36"/>
      <c r="I140" s="38">
        <f t="shared" si="25"/>
        <v>0</v>
      </c>
      <c r="J140" s="36"/>
      <c r="K140" s="38">
        <f t="shared" si="26"/>
        <v>0</v>
      </c>
      <c r="L140" s="36"/>
      <c r="M140" s="38">
        <f t="shared" si="27"/>
        <v>0</v>
      </c>
      <c r="N140" s="36"/>
      <c r="O140" s="38">
        <f t="shared" si="28"/>
        <v>0</v>
      </c>
      <c r="P140" s="36">
        <f t="shared" si="29"/>
        <v>1</v>
      </c>
      <c r="Q140" s="36">
        <f t="shared" si="30"/>
        <v>10</v>
      </c>
    </row>
    <row r="141" spans="4:20" hidden="1" outlineLevel="1">
      <c r="E141" s="3" t="str">
        <f>PlayerPool!B126</f>
        <v>Imrul Kayes</v>
      </c>
      <c r="F141" s="36">
        <v>1</v>
      </c>
      <c r="G141" s="38">
        <f t="shared" si="24"/>
        <v>10</v>
      </c>
      <c r="H141" s="36"/>
      <c r="I141" s="38">
        <f t="shared" si="25"/>
        <v>0</v>
      </c>
      <c r="J141" s="36"/>
      <c r="K141" s="38">
        <f t="shared" si="26"/>
        <v>0</v>
      </c>
      <c r="L141" s="36"/>
      <c r="M141" s="38">
        <f t="shared" si="27"/>
        <v>0</v>
      </c>
      <c r="N141" s="36"/>
      <c r="O141" s="38">
        <f t="shared" si="28"/>
        <v>0</v>
      </c>
      <c r="P141" s="36">
        <f t="shared" si="29"/>
        <v>1</v>
      </c>
      <c r="Q141" s="36">
        <f t="shared" si="30"/>
        <v>10</v>
      </c>
    </row>
    <row r="142" spans="4:20" hidden="1" outlineLevel="1">
      <c r="E142" s="3" t="str">
        <f>PlayerPool!B127</f>
        <v>Junaid Siddique</v>
      </c>
      <c r="F142" s="36">
        <v>1</v>
      </c>
      <c r="G142" s="38">
        <f t="shared" si="24"/>
        <v>10</v>
      </c>
      <c r="H142" s="36"/>
      <c r="I142" s="38">
        <f t="shared" si="25"/>
        <v>0</v>
      </c>
      <c r="J142" s="36"/>
      <c r="K142" s="38">
        <f t="shared" si="26"/>
        <v>0</v>
      </c>
      <c r="L142" s="36"/>
      <c r="M142" s="38">
        <f t="shared" si="27"/>
        <v>0</v>
      </c>
      <c r="N142" s="36"/>
      <c r="O142" s="38">
        <f t="shared" si="28"/>
        <v>0</v>
      </c>
      <c r="P142" s="36">
        <f t="shared" si="29"/>
        <v>1</v>
      </c>
      <c r="Q142" s="36">
        <f t="shared" si="30"/>
        <v>10</v>
      </c>
    </row>
    <row r="143" spans="4:20" hidden="1" outlineLevel="1">
      <c r="E143" s="3" t="str">
        <f>PlayerPool!B128</f>
        <v>Mahmudullah</v>
      </c>
      <c r="F143" s="36"/>
      <c r="G143" s="38">
        <f t="shared" si="24"/>
        <v>0</v>
      </c>
      <c r="H143" s="36"/>
      <c r="I143" s="38">
        <f t="shared" si="25"/>
        <v>0</v>
      </c>
      <c r="J143" s="36"/>
      <c r="K143" s="38">
        <f t="shared" si="26"/>
        <v>0</v>
      </c>
      <c r="L143" s="36"/>
      <c r="M143" s="38">
        <f t="shared" si="27"/>
        <v>0</v>
      </c>
      <c r="N143" s="36"/>
      <c r="O143" s="38">
        <f t="shared" si="28"/>
        <v>0</v>
      </c>
      <c r="P143" s="36">
        <f t="shared" si="29"/>
        <v>0</v>
      </c>
      <c r="Q143" s="36">
        <f t="shared" si="30"/>
        <v>0</v>
      </c>
    </row>
    <row r="144" spans="4:20" hidden="1" outlineLevel="1">
      <c r="E144" s="3" t="str">
        <f>PlayerPool!B129</f>
        <v>Mohammad Ashraful</v>
      </c>
      <c r="F144" s="36"/>
      <c r="G144" s="38">
        <f t="shared" si="24"/>
        <v>0</v>
      </c>
      <c r="H144" s="36"/>
      <c r="I144" s="38">
        <f t="shared" si="25"/>
        <v>0</v>
      </c>
      <c r="J144" s="36"/>
      <c r="K144" s="38">
        <f t="shared" si="26"/>
        <v>0</v>
      </c>
      <c r="L144" s="36"/>
      <c r="M144" s="38">
        <f t="shared" si="27"/>
        <v>0</v>
      </c>
      <c r="N144" s="36"/>
      <c r="O144" s="38">
        <f t="shared" si="28"/>
        <v>0</v>
      </c>
      <c r="P144" s="36">
        <f t="shared" si="29"/>
        <v>0</v>
      </c>
      <c r="Q144" s="36">
        <f t="shared" si="30"/>
        <v>0</v>
      </c>
    </row>
    <row r="145" spans="5:17" hidden="1" outlineLevel="1">
      <c r="E145" s="3" t="str">
        <f>PlayerPool!B130</f>
        <v>Mushfique Rahim</v>
      </c>
      <c r="F145" s="36"/>
      <c r="G145" s="38">
        <f t="shared" si="24"/>
        <v>0</v>
      </c>
      <c r="H145" s="36"/>
      <c r="I145" s="38">
        <f t="shared" si="25"/>
        <v>0</v>
      </c>
      <c r="J145" s="36"/>
      <c r="K145" s="38">
        <f t="shared" si="26"/>
        <v>0</v>
      </c>
      <c r="L145" s="36"/>
      <c r="M145" s="38">
        <f t="shared" si="27"/>
        <v>0</v>
      </c>
      <c r="N145" s="36"/>
      <c r="O145" s="38">
        <f t="shared" si="28"/>
        <v>0</v>
      </c>
      <c r="P145" s="36">
        <f t="shared" si="29"/>
        <v>0</v>
      </c>
      <c r="Q145" s="36">
        <f t="shared" si="30"/>
        <v>0</v>
      </c>
    </row>
    <row r="146" spans="5:17" hidden="1" outlineLevel="1">
      <c r="E146" s="3" t="str">
        <f>PlayerPool!B131</f>
        <v>Naeem Islam</v>
      </c>
      <c r="F146" s="36"/>
      <c r="G146" s="38">
        <f t="shared" si="24"/>
        <v>0</v>
      </c>
      <c r="H146" s="36"/>
      <c r="I146" s="38">
        <f t="shared" si="25"/>
        <v>0</v>
      </c>
      <c r="J146" s="36"/>
      <c r="K146" s="38">
        <f t="shared" si="26"/>
        <v>0</v>
      </c>
      <c r="L146" s="36"/>
      <c r="M146" s="38">
        <f t="shared" si="27"/>
        <v>0</v>
      </c>
      <c r="N146" s="36"/>
      <c r="O146" s="38">
        <f t="shared" si="28"/>
        <v>0</v>
      </c>
      <c r="P146" s="36">
        <f t="shared" si="29"/>
        <v>0</v>
      </c>
      <c r="Q146" s="36">
        <f t="shared" si="30"/>
        <v>0</v>
      </c>
    </row>
    <row r="147" spans="5:17" hidden="1" outlineLevel="1">
      <c r="E147" s="3" t="str">
        <f>PlayerPool!B132</f>
        <v>Nazmul Hossain</v>
      </c>
      <c r="F147" s="36"/>
      <c r="G147" s="38">
        <f t="shared" si="24"/>
        <v>0</v>
      </c>
      <c r="H147" s="36"/>
      <c r="I147" s="38">
        <f t="shared" si="25"/>
        <v>0</v>
      </c>
      <c r="J147" s="36"/>
      <c r="K147" s="38">
        <f t="shared" si="26"/>
        <v>0</v>
      </c>
      <c r="L147" s="36"/>
      <c r="M147" s="38">
        <f t="shared" si="27"/>
        <v>0</v>
      </c>
      <c r="N147" s="36"/>
      <c r="O147" s="38">
        <f t="shared" si="28"/>
        <v>0</v>
      </c>
      <c r="P147" s="36">
        <f t="shared" si="29"/>
        <v>0</v>
      </c>
      <c r="Q147" s="36">
        <f t="shared" si="30"/>
        <v>0</v>
      </c>
    </row>
    <row r="148" spans="5:17" hidden="1" outlineLevel="1">
      <c r="E148" s="3" t="str">
        <f>PlayerPool!B133</f>
        <v>Raqibul Hasan</v>
      </c>
      <c r="F148" s="36"/>
      <c r="G148" s="38">
        <f t="shared" si="24"/>
        <v>0</v>
      </c>
      <c r="H148" s="36"/>
      <c r="I148" s="38">
        <f t="shared" si="25"/>
        <v>0</v>
      </c>
      <c r="J148" s="36"/>
      <c r="K148" s="38">
        <f t="shared" si="26"/>
        <v>0</v>
      </c>
      <c r="L148" s="36"/>
      <c r="M148" s="38">
        <f t="shared" si="27"/>
        <v>0</v>
      </c>
      <c r="N148" s="36"/>
      <c r="O148" s="38">
        <f t="shared" si="28"/>
        <v>0</v>
      </c>
      <c r="P148" s="36">
        <f t="shared" si="29"/>
        <v>0</v>
      </c>
      <c r="Q148" s="36">
        <f t="shared" si="30"/>
        <v>0</v>
      </c>
    </row>
    <row r="149" spans="5:17" hidden="1" outlineLevel="1">
      <c r="E149" s="3" t="str">
        <f>PlayerPool!B134</f>
        <v>Rubel Hossain</v>
      </c>
      <c r="F149" s="36"/>
      <c r="G149" s="38">
        <f t="shared" si="24"/>
        <v>0</v>
      </c>
      <c r="H149" s="36"/>
      <c r="I149" s="38">
        <f t="shared" si="25"/>
        <v>0</v>
      </c>
      <c r="J149" s="36"/>
      <c r="K149" s="38">
        <f t="shared" si="26"/>
        <v>0</v>
      </c>
      <c r="L149" s="36"/>
      <c r="M149" s="38">
        <f t="shared" si="27"/>
        <v>0</v>
      </c>
      <c r="N149" s="36"/>
      <c r="O149" s="38">
        <f t="shared" si="28"/>
        <v>0</v>
      </c>
      <c r="P149" s="36">
        <f t="shared" si="29"/>
        <v>0</v>
      </c>
      <c r="Q149" s="36">
        <f t="shared" si="30"/>
        <v>0</v>
      </c>
    </row>
    <row r="150" spans="5:17" hidden="1" outlineLevel="1">
      <c r="E150" s="3" t="str">
        <f>PlayerPool!B135</f>
        <v>Shafiul Islam</v>
      </c>
      <c r="F150" s="36"/>
      <c r="G150" s="38">
        <f t="shared" si="24"/>
        <v>0</v>
      </c>
      <c r="H150" s="36"/>
      <c r="I150" s="38">
        <f t="shared" si="25"/>
        <v>0</v>
      </c>
      <c r="J150" s="36"/>
      <c r="K150" s="38">
        <f t="shared" si="26"/>
        <v>0</v>
      </c>
      <c r="L150" s="36"/>
      <c r="M150" s="38">
        <f t="shared" si="27"/>
        <v>0</v>
      </c>
      <c r="N150" s="36"/>
      <c r="O150" s="38">
        <f t="shared" si="28"/>
        <v>0</v>
      </c>
      <c r="P150" s="36">
        <f t="shared" si="29"/>
        <v>0</v>
      </c>
      <c r="Q150" s="36">
        <f t="shared" si="30"/>
        <v>0</v>
      </c>
    </row>
    <row r="151" spans="5:17" hidden="1" outlineLevel="1">
      <c r="E151" s="3" t="str">
        <f>PlayerPool!B136</f>
        <v>Shahriar Nafees</v>
      </c>
      <c r="F151" s="36"/>
      <c r="G151" s="38">
        <f t="shared" si="24"/>
        <v>0</v>
      </c>
      <c r="H151" s="36"/>
      <c r="I151" s="38">
        <f t="shared" si="25"/>
        <v>0</v>
      </c>
      <c r="J151" s="36"/>
      <c r="K151" s="38">
        <f t="shared" si="26"/>
        <v>0</v>
      </c>
      <c r="L151" s="36"/>
      <c r="M151" s="38">
        <f t="shared" si="27"/>
        <v>0</v>
      </c>
      <c r="N151" s="36"/>
      <c r="O151" s="38">
        <f t="shared" si="28"/>
        <v>0</v>
      </c>
      <c r="P151" s="36">
        <f t="shared" si="29"/>
        <v>0</v>
      </c>
      <c r="Q151" s="36">
        <f t="shared" si="30"/>
        <v>0</v>
      </c>
    </row>
    <row r="152" spans="5:17" hidden="1" outlineLevel="1">
      <c r="E152" s="3" t="str">
        <f>PlayerPool!B137</f>
        <v>Suhrawadi Shuvo</v>
      </c>
      <c r="F152" s="36"/>
      <c r="G152" s="38">
        <f t="shared" si="24"/>
        <v>0</v>
      </c>
      <c r="H152" s="36"/>
      <c r="I152" s="38">
        <f t="shared" si="25"/>
        <v>0</v>
      </c>
      <c r="J152" s="36"/>
      <c r="K152" s="38">
        <f t="shared" si="26"/>
        <v>0</v>
      </c>
      <c r="L152" s="36"/>
      <c r="M152" s="38">
        <f t="shared" si="27"/>
        <v>0</v>
      </c>
      <c r="N152" s="36"/>
      <c r="O152" s="38">
        <f t="shared" si="28"/>
        <v>0</v>
      </c>
      <c r="P152" s="36">
        <f t="shared" si="29"/>
        <v>0</v>
      </c>
      <c r="Q152" s="36">
        <f t="shared" si="30"/>
        <v>0</v>
      </c>
    </row>
    <row r="153" spans="5:17" collapsed="1"/>
  </sheetData>
  <mergeCells count="7">
    <mergeCell ref="B2:D2"/>
    <mergeCell ref="F6:O6"/>
    <mergeCell ref="N7:O7"/>
    <mergeCell ref="F7:G7"/>
    <mergeCell ref="H7:I7"/>
    <mergeCell ref="J7:K7"/>
    <mergeCell ref="L7:M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tabColor theme="3"/>
  </sheetPr>
  <dimension ref="B2:P148"/>
  <sheetViews>
    <sheetView workbookViewId="0">
      <selection activeCell="D6" sqref="D6"/>
    </sheetView>
  </sheetViews>
  <sheetFormatPr defaultRowHeight="14.5" outlineLevelRow="1"/>
  <cols>
    <col min="2" max="2" width="12.54296875" bestFit="1" customWidth="1"/>
    <col min="3" max="3" width="22.54296875" bestFit="1" customWidth="1"/>
    <col min="4" max="7" width="9.453125" bestFit="1" customWidth="1"/>
    <col min="8" max="8" width="9.26953125" bestFit="1" customWidth="1"/>
    <col min="9" max="9" width="11.453125" bestFit="1" customWidth="1"/>
    <col min="10" max="10" width="0" hidden="1" customWidth="1"/>
    <col min="11" max="11" width="8.54296875" hidden="1" customWidth="1"/>
    <col min="12" max="12" width="0" hidden="1" customWidth="1"/>
    <col min="15" max="15" width="3" bestFit="1" customWidth="1"/>
  </cols>
  <sheetData>
    <row r="2" spans="2:16">
      <c r="D2" s="131" t="s">
        <v>2</v>
      </c>
      <c r="E2" s="131"/>
      <c r="F2" s="131"/>
      <c r="G2" s="131"/>
      <c r="H2" s="131"/>
    </row>
    <row r="3" spans="2:16">
      <c r="D3" s="7">
        <v>40562</v>
      </c>
      <c r="E3" s="19">
        <v>40563</v>
      </c>
      <c r="F3" s="19">
        <v>40564</v>
      </c>
      <c r="G3" s="19">
        <v>40565</v>
      </c>
      <c r="H3" s="19">
        <v>40566</v>
      </c>
      <c r="I3" s="10" t="s">
        <v>3</v>
      </c>
    </row>
    <row r="4" spans="2:16">
      <c r="B4" s="5" t="s">
        <v>0</v>
      </c>
      <c r="D4" s="3"/>
      <c r="E4" s="3"/>
      <c r="F4" s="3"/>
      <c r="G4" s="3"/>
      <c r="H4" s="3"/>
      <c r="I4" s="3"/>
      <c r="N4" s="17"/>
      <c r="O4" s="17"/>
      <c r="P4" s="17"/>
    </row>
    <row r="5" spans="2:16" outlineLevel="1">
      <c r="C5" s="3" t="str">
        <f>PlayerPool!B3</f>
        <v>Sachin Tendulkar</v>
      </c>
      <c r="D5" s="3">
        <f>Batting!G10+Bowling!G10+Fielding!G10</f>
        <v>27</v>
      </c>
      <c r="E5" s="3">
        <f>Batting!I10+Bowling!I10+Fielding!I10</f>
        <v>0</v>
      </c>
      <c r="F5" s="3">
        <f>Batting!K10+Bowling!K10+Fielding!K10</f>
        <v>0</v>
      </c>
      <c r="G5" s="3">
        <f>Batting!M10+Bowling!M10+Fielding!M10</f>
        <v>0</v>
      </c>
      <c r="H5" s="3">
        <f>Batting!O10+Bowling!O10+Fielding!O10</f>
        <v>0</v>
      </c>
      <c r="I5" s="3">
        <f>SUM(D5:H5)</f>
        <v>27</v>
      </c>
      <c r="K5" s="2"/>
      <c r="L5" s="2"/>
      <c r="N5" s="18"/>
      <c r="O5" s="18"/>
      <c r="P5" s="18"/>
    </row>
    <row r="6" spans="2:16" outlineLevel="1">
      <c r="C6" s="3" t="str">
        <f>PlayerPool!B4</f>
        <v>Virender Sehwag</v>
      </c>
      <c r="D6" s="3">
        <f>Batting!G11+Bowling!G11+Fielding!G11</f>
        <v>205</v>
      </c>
      <c r="E6" s="3">
        <f>Batting!I11+Bowling!I11+Fielding!I11</f>
        <v>0</v>
      </c>
      <c r="F6" s="3">
        <f>Batting!K11+Bowling!K11+Fielding!K11</f>
        <v>0</v>
      </c>
      <c r="G6" s="3">
        <f>Batting!M11+Bowling!M11+Fielding!M11</f>
        <v>0</v>
      </c>
      <c r="H6" s="3">
        <f>Batting!O11+Bowling!O11+Fielding!O11</f>
        <v>0</v>
      </c>
      <c r="I6" s="3">
        <f t="shared" ref="I6:I69" si="0">SUM(D6:H6)</f>
        <v>205</v>
      </c>
      <c r="K6" s="2"/>
      <c r="L6" s="2"/>
      <c r="N6" s="17"/>
      <c r="O6" s="17"/>
      <c r="P6" s="17"/>
    </row>
    <row r="7" spans="2:16" outlineLevel="1">
      <c r="C7" s="3" t="str">
        <f>PlayerPool!B5</f>
        <v>Gautam Gambhir</v>
      </c>
      <c r="D7" s="3">
        <f>Batting!G12+Bowling!G12+Fielding!G12</f>
        <v>39</v>
      </c>
      <c r="E7" s="3">
        <f>Batting!I12+Bowling!I12+Fielding!I12</f>
        <v>0</v>
      </c>
      <c r="F7" s="3">
        <f>Batting!K12+Bowling!K12+Fielding!K12</f>
        <v>0</v>
      </c>
      <c r="G7" s="3">
        <f>Batting!M12+Bowling!M12+Fielding!M12</f>
        <v>0</v>
      </c>
      <c r="H7" s="3">
        <f>Batting!O12+Bowling!O12+Fielding!O12</f>
        <v>0</v>
      </c>
      <c r="I7" s="3">
        <f t="shared" si="0"/>
        <v>39</v>
      </c>
      <c r="K7" s="2"/>
      <c r="L7" s="2"/>
      <c r="N7" s="17"/>
      <c r="O7" s="17"/>
      <c r="P7" s="17"/>
    </row>
    <row r="8" spans="2:16" outlineLevel="1">
      <c r="C8" s="3" t="str">
        <f>PlayerPool!B6</f>
        <v>Viraat Kohli</v>
      </c>
      <c r="D8" s="3">
        <f>Batting!G13+Bowling!G13+Fielding!G13</f>
        <v>130</v>
      </c>
      <c r="E8" s="3">
        <f>Batting!I13+Bowling!I13+Fielding!I13</f>
        <v>0</v>
      </c>
      <c r="F8" s="3">
        <f>Batting!K13+Bowling!K13+Fielding!K13</f>
        <v>0</v>
      </c>
      <c r="G8" s="3">
        <f>Batting!M13+Bowling!M13+Fielding!M13</f>
        <v>0</v>
      </c>
      <c r="H8" s="3">
        <f>Batting!O13+Bowling!O13+Fielding!O13</f>
        <v>0</v>
      </c>
      <c r="I8" s="3">
        <f t="shared" si="0"/>
        <v>130</v>
      </c>
      <c r="K8" s="2"/>
      <c r="L8" s="2"/>
      <c r="N8" s="17"/>
      <c r="O8" s="17"/>
      <c r="P8" s="17"/>
    </row>
    <row r="9" spans="2:16" outlineLevel="1">
      <c r="C9" s="3" t="str">
        <f>PlayerPool!B7</f>
        <v>Yuvraj Singh</v>
      </c>
      <c r="D9" s="3">
        <f>Batting!G14+Bowling!G14+Fielding!G14</f>
        <v>10</v>
      </c>
      <c r="E9" s="3">
        <f>Batting!I14+Bowling!I14+Fielding!I14</f>
        <v>0</v>
      </c>
      <c r="F9" s="3">
        <f>Batting!K14+Bowling!K14+Fielding!K14</f>
        <v>0</v>
      </c>
      <c r="G9" s="3">
        <f>Batting!M14+Bowling!M14+Fielding!M14</f>
        <v>0</v>
      </c>
      <c r="H9" s="3">
        <f>Batting!O14+Bowling!O14+Fielding!O14</f>
        <v>0</v>
      </c>
      <c r="I9" s="3">
        <f t="shared" si="0"/>
        <v>10</v>
      </c>
      <c r="K9" s="2"/>
      <c r="L9" s="2"/>
      <c r="N9" s="17"/>
      <c r="O9" s="17"/>
      <c r="P9" s="17"/>
    </row>
    <row r="10" spans="2:16" outlineLevel="1">
      <c r="C10" s="3" t="str">
        <f>PlayerPool!B8</f>
        <v>Suresh Raina</v>
      </c>
      <c r="D10" s="3">
        <f>Batting!G15+Bowling!G15+Fielding!G15</f>
        <v>10</v>
      </c>
      <c r="E10" s="3">
        <f>Batting!I15+Bowling!I15+Fielding!I15</f>
        <v>0</v>
      </c>
      <c r="F10" s="3">
        <f>Batting!K15+Bowling!K15+Fielding!K15</f>
        <v>0</v>
      </c>
      <c r="G10" s="3">
        <f>Batting!M15+Bowling!M15+Fielding!M15</f>
        <v>0</v>
      </c>
      <c r="H10" s="3">
        <f>Batting!O15+Bowling!O15+Fielding!O15</f>
        <v>0</v>
      </c>
      <c r="I10" s="3">
        <f t="shared" si="0"/>
        <v>10</v>
      </c>
      <c r="K10" s="2"/>
      <c r="L10" s="2"/>
      <c r="N10" s="17"/>
      <c r="O10" s="17"/>
      <c r="P10" s="17"/>
    </row>
    <row r="11" spans="2:16" outlineLevel="1">
      <c r="C11" s="3" t="str">
        <f>PlayerPool!B9</f>
        <v>MS Dhoni</v>
      </c>
      <c r="D11" s="3">
        <f>Batting!G16+Bowling!G16+Fielding!G16</f>
        <v>20</v>
      </c>
      <c r="E11" s="3">
        <f>Batting!I16+Bowling!I16+Fielding!I16</f>
        <v>0</v>
      </c>
      <c r="F11" s="3">
        <f>Batting!K16+Bowling!K16+Fielding!K16</f>
        <v>0</v>
      </c>
      <c r="G11" s="3">
        <f>Batting!M16+Bowling!M16+Fielding!M16</f>
        <v>0</v>
      </c>
      <c r="H11" s="3">
        <f>Batting!O16+Bowling!O16+Fielding!O16</f>
        <v>0</v>
      </c>
      <c r="I11" s="3">
        <f t="shared" si="0"/>
        <v>20</v>
      </c>
      <c r="K11" s="2"/>
      <c r="L11" s="2"/>
      <c r="N11" s="17"/>
      <c r="O11" s="17"/>
      <c r="P11" s="17"/>
    </row>
    <row r="12" spans="2:16" outlineLevel="1">
      <c r="C12" s="3" t="str">
        <f>PlayerPool!B10</f>
        <v>Yousuf Pathan</v>
      </c>
      <c r="D12" s="3">
        <f>Batting!G17+Bowling!G17+Fielding!G17</f>
        <v>3</v>
      </c>
      <c r="E12" s="3">
        <f>Batting!I17+Bowling!I17+Fielding!I17</f>
        <v>0</v>
      </c>
      <c r="F12" s="3">
        <f>Batting!K17+Bowling!K17+Fielding!K17</f>
        <v>0</v>
      </c>
      <c r="G12" s="3">
        <f>Batting!M17+Bowling!M17+Fielding!M17</f>
        <v>0</v>
      </c>
      <c r="H12" s="3">
        <f>Batting!O17+Bowling!O17+Fielding!O17</f>
        <v>0</v>
      </c>
      <c r="I12" s="3">
        <f t="shared" si="0"/>
        <v>3</v>
      </c>
      <c r="K12" s="2"/>
      <c r="L12" s="2"/>
      <c r="N12" s="17"/>
      <c r="O12" s="17"/>
      <c r="P12" s="17"/>
    </row>
    <row r="13" spans="2:16" outlineLevel="1">
      <c r="C13" s="3" t="str">
        <f>PlayerPool!B11</f>
        <v>Munaf Patel</v>
      </c>
      <c r="D13" s="3">
        <f>Batting!G18+Bowling!G18+Fielding!G18</f>
        <v>130</v>
      </c>
      <c r="E13" s="3">
        <f>Batting!I18+Bowling!I18+Fielding!I18</f>
        <v>0</v>
      </c>
      <c r="F13" s="3">
        <f>Batting!K18+Bowling!K18+Fielding!K18</f>
        <v>0</v>
      </c>
      <c r="G13" s="3">
        <f>Batting!M18+Bowling!M18+Fielding!M18</f>
        <v>0</v>
      </c>
      <c r="H13" s="3">
        <f>Batting!O18+Bowling!O18+Fielding!O18</f>
        <v>0</v>
      </c>
      <c r="I13" s="3">
        <f t="shared" si="0"/>
        <v>130</v>
      </c>
      <c r="K13" s="2"/>
      <c r="L13" s="2"/>
      <c r="N13" s="17"/>
      <c r="O13" s="17"/>
      <c r="P13" s="17"/>
    </row>
    <row r="14" spans="2:16" outlineLevel="1">
      <c r="C14" s="3" t="str">
        <f>PlayerPool!B12</f>
        <v>Piyush Chawla</v>
      </c>
      <c r="D14" s="3">
        <f>Batting!G19+Bowling!G19+Fielding!G19</f>
        <v>0</v>
      </c>
      <c r="E14" s="3">
        <f>Batting!I19+Bowling!I19+Fielding!I19</f>
        <v>0</v>
      </c>
      <c r="F14" s="3">
        <f>Batting!K19+Bowling!K19+Fielding!K19</f>
        <v>0</v>
      </c>
      <c r="G14" s="3">
        <f>Batting!M19+Bowling!M19+Fielding!M19</f>
        <v>0</v>
      </c>
      <c r="H14" s="3">
        <f>Batting!O19+Bowling!O19+Fielding!O19</f>
        <v>0</v>
      </c>
      <c r="I14" s="3">
        <f t="shared" si="0"/>
        <v>0</v>
      </c>
      <c r="K14" s="2"/>
      <c r="L14" s="2"/>
      <c r="N14" s="17"/>
      <c r="O14" s="17"/>
      <c r="P14" s="17"/>
    </row>
    <row r="15" spans="2:16" outlineLevel="1">
      <c r="C15" s="3" t="str">
        <f>PlayerPool!B13</f>
        <v>Ashish Nehra</v>
      </c>
      <c r="D15" s="3">
        <f>Batting!G20+Bowling!G20+Fielding!G20</f>
        <v>0</v>
      </c>
      <c r="E15" s="3">
        <f>Batting!I20+Bowling!I20+Fielding!I20</f>
        <v>0</v>
      </c>
      <c r="F15" s="3">
        <f>Batting!K20+Bowling!K20+Fielding!K20</f>
        <v>0</v>
      </c>
      <c r="G15" s="3">
        <f>Batting!M20+Bowling!M20+Fielding!M20</f>
        <v>0</v>
      </c>
      <c r="H15" s="3">
        <f>Batting!O20+Bowling!O20+Fielding!O20</f>
        <v>0</v>
      </c>
      <c r="I15" s="3">
        <f t="shared" si="0"/>
        <v>0</v>
      </c>
      <c r="K15" s="2"/>
      <c r="L15" s="2"/>
      <c r="N15" s="17"/>
      <c r="O15" s="17"/>
      <c r="P15" s="17"/>
    </row>
    <row r="16" spans="2:16" outlineLevel="1">
      <c r="C16" s="3" t="str">
        <f>PlayerPool!B14</f>
        <v>Harbhajan Singh</v>
      </c>
      <c r="D16" s="3">
        <f>Batting!G21+Bowling!G21+Fielding!G21</f>
        <v>25</v>
      </c>
      <c r="E16" s="3">
        <f>Batting!I21+Bowling!I21+Fielding!I21</f>
        <v>0</v>
      </c>
      <c r="F16" s="3">
        <f>Batting!K21+Bowling!K21+Fielding!K21</f>
        <v>0</v>
      </c>
      <c r="G16" s="3">
        <f>Batting!M21+Bowling!M21+Fielding!M21</f>
        <v>0</v>
      </c>
      <c r="H16" s="3">
        <f>Batting!O21+Bowling!O21+Fielding!O21</f>
        <v>0</v>
      </c>
      <c r="I16" s="3">
        <f t="shared" si="0"/>
        <v>25</v>
      </c>
      <c r="K16" s="2"/>
      <c r="L16" s="2"/>
      <c r="N16" s="17"/>
      <c r="O16" s="17"/>
      <c r="P16" s="17"/>
    </row>
    <row r="17" spans="2:16" outlineLevel="1">
      <c r="C17" s="3" t="str">
        <f>PlayerPool!B15</f>
        <v>Zaheer Khan</v>
      </c>
      <c r="D17" s="3">
        <f>Batting!G22+Bowling!G22+Fielding!G22</f>
        <v>50</v>
      </c>
      <c r="E17" s="3">
        <f>Batting!I22+Bowling!I22+Fielding!I22</f>
        <v>0</v>
      </c>
      <c r="F17" s="3">
        <f>Batting!K22+Bowling!K22+Fielding!K22</f>
        <v>0</v>
      </c>
      <c r="G17" s="3">
        <f>Batting!M22+Bowling!M22+Fielding!M22</f>
        <v>0</v>
      </c>
      <c r="H17" s="3">
        <f>Batting!O22+Bowling!O22+Fielding!O22</f>
        <v>0</v>
      </c>
      <c r="I17" s="3">
        <f t="shared" si="0"/>
        <v>50</v>
      </c>
      <c r="K17" s="2"/>
      <c r="L17" s="2"/>
      <c r="N17" s="17"/>
      <c r="O17" s="17"/>
      <c r="P17" s="17"/>
    </row>
    <row r="18" spans="2:16" outlineLevel="1">
      <c r="C18" s="3" t="str">
        <f>PlayerPool!B16</f>
        <v xml:space="preserve">Sreesanth </v>
      </c>
      <c r="D18" s="3">
        <f>Batting!G23+Bowling!G23+Fielding!G23</f>
        <v>0</v>
      </c>
      <c r="E18" s="3">
        <f>Batting!I23+Bowling!I23+Fielding!I23</f>
        <v>0</v>
      </c>
      <c r="F18" s="3">
        <f>Batting!K23+Bowling!K23+Fielding!K23</f>
        <v>0</v>
      </c>
      <c r="G18" s="3">
        <f>Batting!M23+Bowling!M23+Fielding!M23</f>
        <v>0</v>
      </c>
      <c r="H18" s="3">
        <f>Batting!O23+Bowling!O23+Fielding!O23</f>
        <v>0</v>
      </c>
      <c r="I18" s="3">
        <f t="shared" si="0"/>
        <v>0</v>
      </c>
      <c r="K18" s="2"/>
      <c r="L18" s="2"/>
      <c r="N18" s="17"/>
      <c r="O18" s="17"/>
      <c r="P18" s="17"/>
    </row>
    <row r="19" spans="2:16" outlineLevel="1">
      <c r="C19" s="3" t="str">
        <f>PlayerPool!B17</f>
        <v>R Ashwin</v>
      </c>
      <c r="D19" s="3">
        <f>Batting!G24+Bowling!G24+Fielding!G24</f>
        <v>0</v>
      </c>
      <c r="E19" s="3">
        <f>Batting!I24+Bowling!I24+Fielding!I24</f>
        <v>0</v>
      </c>
      <c r="F19" s="3">
        <f>Batting!K24+Bowling!K24+Fielding!K24</f>
        <v>0</v>
      </c>
      <c r="G19" s="3">
        <f>Batting!M24+Bowling!M24+Fielding!M24</f>
        <v>0</v>
      </c>
      <c r="H19" s="3">
        <f>Batting!O24+Bowling!O24+Fielding!O24</f>
        <v>0</v>
      </c>
      <c r="I19" s="3">
        <f t="shared" si="0"/>
        <v>0</v>
      </c>
      <c r="K19" s="2"/>
      <c r="L19" s="2"/>
    </row>
    <row r="20" spans="2:16">
      <c r="B20" s="5" t="s">
        <v>1</v>
      </c>
      <c r="D20" s="3"/>
      <c r="E20" s="3"/>
      <c r="F20" s="3"/>
      <c r="G20" s="3"/>
      <c r="H20" s="3"/>
      <c r="I20" s="3"/>
    </row>
    <row r="21" spans="2:16" hidden="1" outlineLevel="1">
      <c r="C21" s="3" t="str">
        <f>PlayerPool!B18</f>
        <v>H Amla</v>
      </c>
      <c r="D21" s="3">
        <f>Batting!G26+Bowling!G26+Fielding!G26</f>
        <v>0</v>
      </c>
      <c r="E21" s="3">
        <f>Batting!I26+Bowling!I26+Fielding!I26</f>
        <v>0</v>
      </c>
      <c r="F21" s="3">
        <f>Batting!K26+Bowling!K26+Fielding!K26</f>
        <v>0</v>
      </c>
      <c r="G21" s="3">
        <f>Batting!M26+Bowling!M26+Fielding!M26</f>
        <v>0</v>
      </c>
      <c r="H21" s="3">
        <f>Batting!O26+Bowling!O26+Fielding!O26</f>
        <v>0</v>
      </c>
      <c r="I21" s="3">
        <f t="shared" si="0"/>
        <v>0</v>
      </c>
    </row>
    <row r="22" spans="2:16" hidden="1" outlineLevel="1">
      <c r="C22" s="3" t="str">
        <f>PlayerPool!B19</f>
        <v>G Smith</v>
      </c>
      <c r="D22" s="3">
        <f>Batting!G27+Bowling!G27+Fielding!G27</f>
        <v>0</v>
      </c>
      <c r="E22" s="3">
        <f>Batting!I27+Bowling!I27+Fielding!I27</f>
        <v>0</v>
      </c>
      <c r="F22" s="3">
        <f>Batting!K27+Bowling!K27+Fielding!K27</f>
        <v>0</v>
      </c>
      <c r="G22" s="3">
        <f>Batting!M27+Bowling!M27+Fielding!M27</f>
        <v>0</v>
      </c>
      <c r="H22" s="3">
        <f>Batting!O27+Bowling!O27+Fielding!O27</f>
        <v>0</v>
      </c>
      <c r="I22" s="3">
        <f t="shared" si="0"/>
        <v>0</v>
      </c>
    </row>
    <row r="23" spans="2:16" hidden="1" outlineLevel="1">
      <c r="C23" s="3" t="str">
        <f>PlayerPool!B20</f>
        <v>J Kallis</v>
      </c>
      <c r="D23" s="3">
        <f>Batting!G28+Bowling!G28+Fielding!G28</f>
        <v>0</v>
      </c>
      <c r="E23" s="3">
        <f>Batting!I28+Bowling!I28+Fielding!I28</f>
        <v>0</v>
      </c>
      <c r="F23" s="3">
        <f>Batting!K28+Bowling!K28+Fielding!K28</f>
        <v>0</v>
      </c>
      <c r="G23" s="3">
        <f>Batting!M28+Bowling!M28+Fielding!M28</f>
        <v>0</v>
      </c>
      <c r="H23" s="3">
        <f>Batting!O28+Bowling!O28+Fielding!O28</f>
        <v>0</v>
      </c>
      <c r="I23" s="3">
        <f t="shared" si="0"/>
        <v>0</v>
      </c>
    </row>
    <row r="24" spans="2:16" hidden="1" outlineLevel="1">
      <c r="C24" s="3" t="str">
        <f>PlayerPool!B21</f>
        <v>AB De Villiers</v>
      </c>
      <c r="D24" s="3">
        <f>Batting!G29+Bowling!G29+Fielding!G29</f>
        <v>0</v>
      </c>
      <c r="E24" s="3">
        <f>Batting!I29+Bowling!I29+Fielding!I29</f>
        <v>0</v>
      </c>
      <c r="F24" s="3">
        <f>Batting!K29+Bowling!K29+Fielding!K29</f>
        <v>0</v>
      </c>
      <c r="G24" s="3">
        <f>Batting!M29+Bowling!M29+Fielding!M29</f>
        <v>0</v>
      </c>
      <c r="H24" s="3">
        <f>Batting!O29+Bowling!O29+Fielding!O29</f>
        <v>0</v>
      </c>
      <c r="I24" s="3">
        <f t="shared" si="0"/>
        <v>0</v>
      </c>
    </row>
    <row r="25" spans="2:16" hidden="1" outlineLevel="1">
      <c r="C25" s="3" t="str">
        <f>PlayerPool!B22</f>
        <v>Faf du plessis</v>
      </c>
      <c r="D25" s="3">
        <f>Batting!G30+Bowling!G30+Fielding!G30</f>
        <v>0</v>
      </c>
      <c r="E25" s="3">
        <f>Batting!I30+Bowling!I30+Fielding!I30</f>
        <v>0</v>
      </c>
      <c r="F25" s="3">
        <f>Batting!K30+Bowling!K30+Fielding!K30</f>
        <v>0</v>
      </c>
      <c r="G25" s="3">
        <f>Batting!M30+Bowling!M30+Fielding!M30</f>
        <v>0</v>
      </c>
      <c r="H25" s="3">
        <f>Batting!O30+Bowling!O30+Fielding!O30</f>
        <v>0</v>
      </c>
      <c r="I25" s="3">
        <f t="shared" si="0"/>
        <v>0</v>
      </c>
    </row>
    <row r="26" spans="2:16" hidden="1" outlineLevel="1">
      <c r="C26" s="3" t="str">
        <f>PlayerPool!B23</f>
        <v>Imran Tahir</v>
      </c>
      <c r="D26" s="3">
        <f>Batting!G31+Bowling!G31+Fielding!G31</f>
        <v>0</v>
      </c>
      <c r="E26" s="3">
        <f>Batting!I31+Bowling!I31+Fielding!I31</f>
        <v>0</v>
      </c>
      <c r="F26" s="3">
        <f>Batting!K31+Bowling!K31+Fielding!K31</f>
        <v>0</v>
      </c>
      <c r="G26" s="3">
        <f>Batting!M31+Bowling!M31+Fielding!M31</f>
        <v>0</v>
      </c>
      <c r="H26" s="3">
        <f>Batting!O31+Bowling!O31+Fielding!O31</f>
        <v>0</v>
      </c>
      <c r="I26" s="3">
        <f t="shared" si="0"/>
        <v>0</v>
      </c>
    </row>
    <row r="27" spans="2:16" hidden="1" outlineLevel="1">
      <c r="C27" s="3" t="str">
        <f>PlayerPool!B24</f>
        <v>Colin Ingram</v>
      </c>
      <c r="D27" s="3">
        <f>Batting!G32+Bowling!G32+Fielding!G32</f>
        <v>0</v>
      </c>
      <c r="E27" s="3">
        <f>Batting!I32+Bowling!I32+Fielding!I32</f>
        <v>0</v>
      </c>
      <c r="F27" s="3">
        <f>Batting!K32+Bowling!K32+Fielding!K32</f>
        <v>0</v>
      </c>
      <c r="G27" s="3">
        <f>Batting!M32+Bowling!M32+Fielding!M32</f>
        <v>0</v>
      </c>
      <c r="H27" s="3">
        <f>Batting!O32+Bowling!O32+Fielding!O32</f>
        <v>0</v>
      </c>
      <c r="I27" s="3">
        <f t="shared" si="0"/>
        <v>0</v>
      </c>
    </row>
    <row r="28" spans="2:16" hidden="1" outlineLevel="1">
      <c r="C28" s="3" t="str">
        <f>PlayerPool!B25</f>
        <v>JP Duminy</v>
      </c>
      <c r="D28" s="3">
        <f>Batting!G33+Bowling!G33+Fielding!G33</f>
        <v>0</v>
      </c>
      <c r="E28" s="3">
        <f>Batting!I33+Bowling!I33+Fielding!I33</f>
        <v>0</v>
      </c>
      <c r="F28" s="3">
        <f>Batting!K33+Bowling!K33+Fielding!K33</f>
        <v>0</v>
      </c>
      <c r="G28" s="3">
        <f>Batting!M33+Bowling!M33+Fielding!M33</f>
        <v>0</v>
      </c>
      <c r="H28" s="3">
        <f>Batting!O33+Bowling!O33+Fielding!O33</f>
        <v>0</v>
      </c>
      <c r="I28" s="3">
        <f t="shared" si="0"/>
        <v>0</v>
      </c>
    </row>
    <row r="29" spans="2:16" hidden="1" outlineLevel="1">
      <c r="C29" s="3" t="str">
        <f>PlayerPool!B26</f>
        <v>R Peterson</v>
      </c>
      <c r="D29" s="3">
        <f>Batting!G34+Bowling!G34+Fielding!G34</f>
        <v>0</v>
      </c>
      <c r="E29" s="3">
        <f>Batting!I34+Bowling!I34+Fielding!I34</f>
        <v>0</v>
      </c>
      <c r="F29" s="3">
        <f>Batting!K34+Bowling!K34+Fielding!K34</f>
        <v>0</v>
      </c>
      <c r="G29" s="3">
        <f>Batting!M34+Bowling!M34+Fielding!M34</f>
        <v>0</v>
      </c>
      <c r="H29" s="3">
        <f>Batting!O34+Bowling!O34+Fielding!O34</f>
        <v>0</v>
      </c>
      <c r="I29" s="3">
        <f t="shared" si="0"/>
        <v>0</v>
      </c>
    </row>
    <row r="30" spans="2:16" hidden="1" outlineLevel="1">
      <c r="C30" s="3" t="str">
        <f>PlayerPool!B27</f>
        <v>T Tsotsobe</v>
      </c>
      <c r="D30" s="3">
        <f>Batting!G35+Bowling!G35+Fielding!G35</f>
        <v>0</v>
      </c>
      <c r="E30" s="3">
        <f>Batting!I35+Bowling!I35+Fielding!I35</f>
        <v>0</v>
      </c>
      <c r="F30" s="3">
        <f>Batting!K35+Bowling!K35+Fielding!K35</f>
        <v>0</v>
      </c>
      <c r="G30" s="3">
        <f>Batting!M35+Bowling!M35+Fielding!M35</f>
        <v>0</v>
      </c>
      <c r="H30" s="3">
        <f>Batting!O35+Bowling!O35+Fielding!O35</f>
        <v>0</v>
      </c>
      <c r="I30" s="3">
        <f t="shared" si="0"/>
        <v>0</v>
      </c>
    </row>
    <row r="31" spans="2:16" hidden="1" outlineLevel="1">
      <c r="C31" s="3" t="str">
        <f>PlayerPool!B28</f>
        <v>Morne Van Wyk</v>
      </c>
      <c r="D31" s="3">
        <f>Batting!G36+Bowling!G36+Fielding!G36</f>
        <v>0</v>
      </c>
      <c r="E31" s="3">
        <f>Batting!I36+Bowling!I36+Fielding!I36</f>
        <v>0</v>
      </c>
      <c r="F31" s="3">
        <f>Batting!K36+Bowling!K36+Fielding!K36</f>
        <v>0</v>
      </c>
      <c r="G31" s="3">
        <f>Batting!M36+Bowling!M36+Fielding!M36</f>
        <v>0</v>
      </c>
      <c r="H31" s="3">
        <f>Batting!O36+Bowling!O36+Fielding!O36</f>
        <v>0</v>
      </c>
      <c r="I31" s="3">
        <f t="shared" si="0"/>
        <v>0</v>
      </c>
    </row>
    <row r="32" spans="2:16" hidden="1" outlineLevel="1">
      <c r="C32" s="3" t="str">
        <f>PlayerPool!B29</f>
        <v>J Botha</v>
      </c>
      <c r="D32" s="3">
        <f>Batting!G37+Bowling!G37+Fielding!G37</f>
        <v>0</v>
      </c>
      <c r="E32" s="3">
        <f>Batting!I37+Bowling!I37+Fielding!I37</f>
        <v>0</v>
      </c>
      <c r="F32" s="3">
        <f>Batting!K37+Bowling!K37+Fielding!K37</f>
        <v>0</v>
      </c>
      <c r="G32" s="3">
        <f>Batting!M37+Bowling!M37+Fielding!M37</f>
        <v>0</v>
      </c>
      <c r="H32" s="3">
        <f>Batting!O37+Bowling!O37+Fielding!O37</f>
        <v>0</v>
      </c>
      <c r="I32" s="3">
        <f t="shared" si="0"/>
        <v>0</v>
      </c>
    </row>
    <row r="33" spans="2:9" hidden="1" outlineLevel="1">
      <c r="C33" s="3" t="str">
        <f>PlayerPool!B30</f>
        <v>Dale Steyn</v>
      </c>
      <c r="D33" s="3">
        <f>Batting!G38+Bowling!G38+Fielding!G38</f>
        <v>0</v>
      </c>
      <c r="E33" s="3">
        <f>Batting!I38+Bowling!I38+Fielding!I38</f>
        <v>0</v>
      </c>
      <c r="F33" s="3">
        <f>Batting!K38+Bowling!K38+Fielding!K38</f>
        <v>0</v>
      </c>
      <c r="G33" s="3">
        <f>Batting!M38+Bowling!M38+Fielding!M38</f>
        <v>0</v>
      </c>
      <c r="H33" s="3">
        <f>Batting!O38+Bowling!O38+Fielding!O38</f>
        <v>0</v>
      </c>
      <c r="I33" s="3">
        <f t="shared" si="0"/>
        <v>0</v>
      </c>
    </row>
    <row r="34" spans="2:9" hidden="1" outlineLevel="1">
      <c r="C34" s="3" t="str">
        <f>PlayerPool!B31</f>
        <v>Morne Morkel</v>
      </c>
      <c r="D34" s="3">
        <f>Batting!G39+Bowling!G39+Fielding!G39</f>
        <v>0</v>
      </c>
      <c r="E34" s="3">
        <f>Batting!I39+Bowling!I39+Fielding!I39</f>
        <v>0</v>
      </c>
      <c r="F34" s="3">
        <f>Batting!K39+Bowling!K39+Fielding!K39</f>
        <v>0</v>
      </c>
      <c r="G34" s="3">
        <f>Batting!M39+Bowling!M39+Fielding!M39</f>
        <v>0</v>
      </c>
      <c r="H34" s="3">
        <f>Batting!O39+Bowling!O39+Fielding!O39</f>
        <v>0</v>
      </c>
      <c r="I34" s="3">
        <f t="shared" si="0"/>
        <v>0</v>
      </c>
    </row>
    <row r="35" spans="2:9" hidden="1" outlineLevel="1">
      <c r="C35" s="3" t="str">
        <f>PlayerPool!B32</f>
        <v>T Parnell</v>
      </c>
      <c r="D35" s="3">
        <f>Batting!G40+Bowling!G40+Fielding!G40</f>
        <v>0</v>
      </c>
      <c r="E35" s="3">
        <f>Batting!I40+Bowling!I40+Fielding!I40</f>
        <v>0</v>
      </c>
      <c r="F35" s="3">
        <f>Batting!K40+Bowling!K40+Fielding!K40</f>
        <v>0</v>
      </c>
      <c r="G35" s="3">
        <f>Batting!M40+Bowling!M40+Fielding!M40</f>
        <v>0</v>
      </c>
      <c r="H35" s="3">
        <f>Batting!O40+Bowling!O40+Fielding!O40</f>
        <v>0</v>
      </c>
      <c r="I35" s="3">
        <f t="shared" si="0"/>
        <v>0</v>
      </c>
    </row>
    <row r="36" spans="2:9" collapsed="1">
      <c r="B36" s="5" t="s">
        <v>96</v>
      </c>
      <c r="D36" s="3"/>
      <c r="E36" s="3"/>
      <c r="F36" s="3"/>
      <c r="G36" s="3"/>
      <c r="H36" s="3"/>
      <c r="I36" s="3"/>
    </row>
    <row r="37" spans="2:9" hidden="1" outlineLevel="1">
      <c r="C37" s="3" t="str">
        <f>PlayerPool!B33</f>
        <v>Ricky Ponting</v>
      </c>
      <c r="D37" s="3">
        <f>Batting!G42+Bowling!G42+Fielding!G42</f>
        <v>0</v>
      </c>
      <c r="E37" s="3">
        <f>Batting!I42+Bowling!I42+Fielding!I42</f>
        <v>0</v>
      </c>
      <c r="F37" s="3">
        <f>Batting!K42+Bowling!K42+Fielding!K42</f>
        <v>0</v>
      </c>
      <c r="G37" s="3">
        <f>Batting!M42+Bowling!M42+Fielding!M42</f>
        <v>0</v>
      </c>
      <c r="H37" s="3">
        <f>Batting!O42+Bowling!O42+Fielding!O42</f>
        <v>0</v>
      </c>
      <c r="I37" s="3">
        <f t="shared" si="0"/>
        <v>0</v>
      </c>
    </row>
    <row r="38" spans="2:9" hidden="1" outlineLevel="1">
      <c r="C38" s="3" t="str">
        <f>PlayerPool!B34</f>
        <v>Michael Clarke</v>
      </c>
      <c r="D38" s="3">
        <f>Batting!G43+Bowling!G43+Fielding!G43</f>
        <v>0</v>
      </c>
      <c r="E38" s="3">
        <f>Batting!I43+Bowling!I43+Fielding!I43</f>
        <v>0</v>
      </c>
      <c r="F38" s="3">
        <f>Batting!K43+Bowling!K43+Fielding!K43</f>
        <v>0</v>
      </c>
      <c r="G38" s="3">
        <f>Batting!M43+Bowling!M43+Fielding!M43</f>
        <v>0</v>
      </c>
      <c r="H38" s="3">
        <f>Batting!O43+Bowling!O43+Fielding!O43</f>
        <v>0</v>
      </c>
      <c r="I38" s="3">
        <f t="shared" si="0"/>
        <v>0</v>
      </c>
    </row>
    <row r="39" spans="2:9" hidden="1" outlineLevel="1">
      <c r="C39" s="3" t="str">
        <f>PlayerPool!B35</f>
        <v>Doug Bollinger</v>
      </c>
      <c r="D39" s="3">
        <f>Batting!G44+Bowling!G44+Fielding!G44</f>
        <v>0</v>
      </c>
      <c r="E39" s="3">
        <f>Batting!I44+Bowling!I44+Fielding!I44</f>
        <v>0</v>
      </c>
      <c r="F39" s="3">
        <f>Batting!K44+Bowling!K44+Fielding!K44</f>
        <v>0</v>
      </c>
      <c r="G39" s="3">
        <f>Batting!M44+Bowling!M44+Fielding!M44</f>
        <v>0</v>
      </c>
      <c r="H39" s="3">
        <f>Batting!O44+Bowling!O44+Fielding!O44</f>
        <v>0</v>
      </c>
      <c r="I39" s="3">
        <f t="shared" si="0"/>
        <v>0</v>
      </c>
    </row>
    <row r="40" spans="2:9" hidden="1" outlineLevel="1">
      <c r="C40" s="3" t="str">
        <f>PlayerPool!B36</f>
        <v>Callum Ferguson</v>
      </c>
      <c r="D40" s="3">
        <f>Batting!G45+Bowling!G45+Fielding!G45</f>
        <v>0</v>
      </c>
      <c r="E40" s="3">
        <f>Batting!I45+Bowling!I45+Fielding!I45</f>
        <v>0</v>
      </c>
      <c r="F40" s="3">
        <f>Batting!K45+Bowling!K45+Fielding!K45</f>
        <v>0</v>
      </c>
      <c r="G40" s="3">
        <f>Batting!M45+Bowling!M45+Fielding!M45</f>
        <v>0</v>
      </c>
      <c r="H40" s="3">
        <f>Batting!O45+Bowling!O45+Fielding!O45</f>
        <v>0</v>
      </c>
      <c r="I40" s="3">
        <f t="shared" si="0"/>
        <v>0</v>
      </c>
    </row>
    <row r="41" spans="2:9" hidden="1" outlineLevel="1">
      <c r="C41" s="3" t="str">
        <f>PlayerPool!B37</f>
        <v>Brad Haddin</v>
      </c>
      <c r="D41" s="3">
        <f>Batting!G46+Bowling!G46+Fielding!G46</f>
        <v>0</v>
      </c>
      <c r="E41" s="3">
        <f>Batting!I46+Bowling!I46+Fielding!I46</f>
        <v>0</v>
      </c>
      <c r="F41" s="3">
        <f>Batting!K46+Bowling!K46+Fielding!K46</f>
        <v>0</v>
      </c>
      <c r="G41" s="3">
        <f>Batting!M46+Bowling!M46+Fielding!M46</f>
        <v>0</v>
      </c>
      <c r="H41" s="3">
        <f>Batting!O46+Bowling!O46+Fielding!O46</f>
        <v>0</v>
      </c>
      <c r="I41" s="3">
        <f t="shared" si="0"/>
        <v>0</v>
      </c>
    </row>
    <row r="42" spans="2:9" hidden="1" outlineLevel="1">
      <c r="C42" s="3" t="str">
        <f>PlayerPool!B38</f>
        <v>John Hastings</v>
      </c>
      <c r="D42" s="3">
        <f>Batting!G47+Bowling!G47+Fielding!G47</f>
        <v>0</v>
      </c>
      <c r="E42" s="3">
        <f>Batting!I47+Bowling!I47+Fielding!I47</f>
        <v>0</v>
      </c>
      <c r="F42" s="3">
        <f>Batting!K47+Bowling!K47+Fielding!K47</f>
        <v>0</v>
      </c>
      <c r="G42" s="3">
        <f>Batting!M47+Bowling!M47+Fielding!M47</f>
        <v>0</v>
      </c>
      <c r="H42" s="3">
        <f>Batting!O47+Bowling!O47+Fielding!O47</f>
        <v>0</v>
      </c>
      <c r="I42" s="3">
        <f t="shared" si="0"/>
        <v>0</v>
      </c>
    </row>
    <row r="43" spans="2:9" hidden="1" outlineLevel="1">
      <c r="C43" s="3" t="str">
        <f>PlayerPool!B39</f>
        <v>David Hussey</v>
      </c>
      <c r="D43" s="3">
        <f>Batting!G48+Bowling!G48+Fielding!G48</f>
        <v>0</v>
      </c>
      <c r="E43" s="3">
        <f>Batting!I48+Bowling!I48+Fielding!I48</f>
        <v>0</v>
      </c>
      <c r="F43" s="3">
        <f>Batting!K48+Bowling!K48+Fielding!K48</f>
        <v>0</v>
      </c>
      <c r="G43" s="3">
        <f>Batting!M48+Bowling!M48+Fielding!M48</f>
        <v>0</v>
      </c>
      <c r="H43" s="3">
        <f>Batting!O48+Bowling!O48+Fielding!O48</f>
        <v>0</v>
      </c>
      <c r="I43" s="3">
        <f t="shared" si="0"/>
        <v>0</v>
      </c>
    </row>
    <row r="44" spans="2:9" hidden="1" outlineLevel="1">
      <c r="C44" s="3" t="str">
        <f>PlayerPool!B40</f>
        <v>Mitchell Johnson</v>
      </c>
      <c r="D44" s="3">
        <f>Batting!G49+Bowling!G49+Fielding!G49</f>
        <v>0</v>
      </c>
      <c r="E44" s="3">
        <f>Batting!I49+Bowling!I49+Fielding!I49</f>
        <v>0</v>
      </c>
      <c r="F44" s="3">
        <f>Batting!K49+Bowling!K49+Fielding!K49</f>
        <v>0</v>
      </c>
      <c r="G44" s="3">
        <f>Batting!M49+Bowling!M49+Fielding!M49</f>
        <v>0</v>
      </c>
      <c r="H44" s="3">
        <f>Batting!O49+Bowling!O49+Fielding!O49</f>
        <v>0</v>
      </c>
      <c r="I44" s="3">
        <f t="shared" si="0"/>
        <v>0</v>
      </c>
    </row>
    <row r="45" spans="2:9" hidden="1" outlineLevel="1">
      <c r="C45" s="3" t="str">
        <f>PlayerPool!B41</f>
        <v>Jason Krejza</v>
      </c>
      <c r="D45" s="3">
        <f>Batting!G50+Bowling!G50+Fielding!G50</f>
        <v>0</v>
      </c>
      <c r="E45" s="3">
        <f>Batting!I50+Bowling!I50+Fielding!I50</f>
        <v>0</v>
      </c>
      <c r="F45" s="3">
        <f>Batting!K50+Bowling!K50+Fielding!K50</f>
        <v>0</v>
      </c>
      <c r="G45" s="3">
        <f>Batting!M50+Bowling!M50+Fielding!M50</f>
        <v>0</v>
      </c>
      <c r="H45" s="3">
        <f>Batting!O50+Bowling!O50+Fielding!O50</f>
        <v>0</v>
      </c>
      <c r="I45" s="3">
        <f t="shared" si="0"/>
        <v>0</v>
      </c>
    </row>
    <row r="46" spans="2:9" hidden="1" outlineLevel="1">
      <c r="C46" s="3" t="str">
        <f>PlayerPool!B42</f>
        <v>Brett Lee</v>
      </c>
      <c r="D46" s="3">
        <f>Batting!G51+Bowling!G51+Fielding!G51</f>
        <v>0</v>
      </c>
      <c r="E46" s="3">
        <f>Batting!I51+Bowling!I51+Fielding!I51</f>
        <v>0</v>
      </c>
      <c r="F46" s="3">
        <f>Batting!K51+Bowling!K51+Fielding!K51</f>
        <v>0</v>
      </c>
      <c r="G46" s="3">
        <f>Batting!M51+Bowling!M51+Fielding!M51</f>
        <v>0</v>
      </c>
      <c r="H46" s="3">
        <f>Batting!O51+Bowling!O51+Fielding!O51</f>
        <v>0</v>
      </c>
      <c r="I46" s="3">
        <f t="shared" si="0"/>
        <v>0</v>
      </c>
    </row>
    <row r="47" spans="2:9" hidden="1" outlineLevel="1">
      <c r="C47" s="3" t="str">
        <f>PlayerPool!B43</f>
        <v>Tim Paine</v>
      </c>
      <c r="D47" s="3">
        <f>Batting!G52+Bowling!G52+Fielding!G52</f>
        <v>0</v>
      </c>
      <c r="E47" s="3">
        <f>Batting!I52+Bowling!I52+Fielding!I52</f>
        <v>0</v>
      </c>
      <c r="F47" s="3">
        <f>Batting!K52+Bowling!K52+Fielding!K52</f>
        <v>0</v>
      </c>
      <c r="G47" s="3">
        <f>Batting!M52+Bowling!M52+Fielding!M52</f>
        <v>0</v>
      </c>
      <c r="H47" s="3">
        <f>Batting!O52+Bowling!O52+Fielding!O52</f>
        <v>0</v>
      </c>
      <c r="I47" s="3">
        <f t="shared" si="0"/>
        <v>0</v>
      </c>
    </row>
    <row r="48" spans="2:9" hidden="1" outlineLevel="1">
      <c r="C48" s="3" t="str">
        <f>PlayerPool!B44</f>
        <v>Steven Smith</v>
      </c>
      <c r="D48" s="3">
        <f>Batting!G53+Bowling!G53+Fielding!G53</f>
        <v>0</v>
      </c>
      <c r="E48" s="3">
        <f>Batting!I53+Bowling!I53+Fielding!I53</f>
        <v>0</v>
      </c>
      <c r="F48" s="3">
        <f>Batting!K53+Bowling!K53+Fielding!K53</f>
        <v>0</v>
      </c>
      <c r="G48" s="3">
        <f>Batting!M53+Bowling!M53+Fielding!M53</f>
        <v>0</v>
      </c>
      <c r="H48" s="3">
        <f>Batting!O53+Bowling!O53+Fielding!O53</f>
        <v>0</v>
      </c>
      <c r="I48" s="3">
        <f t="shared" si="0"/>
        <v>0</v>
      </c>
    </row>
    <row r="49" spans="2:9" hidden="1" outlineLevel="1">
      <c r="C49" s="3" t="str">
        <f>PlayerPool!B45</f>
        <v>Shaun Tait</v>
      </c>
      <c r="D49" s="3">
        <f>Batting!G54+Bowling!G54+Fielding!G54</f>
        <v>0</v>
      </c>
      <c r="E49" s="3">
        <f>Batting!I54+Bowling!I54+Fielding!I54</f>
        <v>0</v>
      </c>
      <c r="F49" s="3">
        <f>Batting!K54+Bowling!K54+Fielding!K54</f>
        <v>0</v>
      </c>
      <c r="G49" s="3">
        <f>Batting!M54+Bowling!M54+Fielding!M54</f>
        <v>0</v>
      </c>
      <c r="H49" s="3">
        <f>Batting!O54+Bowling!O54+Fielding!O54</f>
        <v>0</v>
      </c>
      <c r="I49" s="3">
        <f t="shared" si="0"/>
        <v>0</v>
      </c>
    </row>
    <row r="50" spans="2:9" hidden="1" outlineLevel="1">
      <c r="C50" s="3" t="str">
        <f>PlayerPool!B46</f>
        <v>Shane Watson</v>
      </c>
      <c r="D50" s="3">
        <f>Batting!G55+Bowling!G55+Fielding!G55</f>
        <v>0</v>
      </c>
      <c r="E50" s="3">
        <f>Batting!I55+Bowling!I55+Fielding!I55</f>
        <v>0</v>
      </c>
      <c r="F50" s="3">
        <f>Batting!K55+Bowling!K55+Fielding!K55</f>
        <v>0</v>
      </c>
      <c r="G50" s="3">
        <f>Batting!M55+Bowling!M55+Fielding!M55</f>
        <v>0</v>
      </c>
      <c r="H50" s="3">
        <f>Batting!O55+Bowling!O55+Fielding!O55</f>
        <v>0</v>
      </c>
      <c r="I50" s="3">
        <f t="shared" si="0"/>
        <v>0</v>
      </c>
    </row>
    <row r="51" spans="2:9" hidden="1" outlineLevel="1">
      <c r="C51" s="3" t="str">
        <f>PlayerPool!B47</f>
        <v>Cameron White</v>
      </c>
      <c r="D51" s="3">
        <f>Batting!G56+Bowling!G56+Fielding!G56</f>
        <v>0</v>
      </c>
      <c r="E51" s="3">
        <f>Batting!I56+Bowling!I56+Fielding!I56</f>
        <v>0</v>
      </c>
      <c r="F51" s="3">
        <f>Batting!K56+Bowling!K56+Fielding!K56</f>
        <v>0</v>
      </c>
      <c r="G51" s="3">
        <f>Batting!M56+Bowling!M56+Fielding!M56</f>
        <v>0</v>
      </c>
      <c r="H51" s="3">
        <f>Batting!O56+Bowling!O56+Fielding!O56</f>
        <v>0</v>
      </c>
      <c r="I51" s="3">
        <f t="shared" si="0"/>
        <v>0</v>
      </c>
    </row>
    <row r="52" spans="2:9" collapsed="1">
      <c r="B52" s="5" t="s">
        <v>97</v>
      </c>
      <c r="D52" s="3"/>
      <c r="E52" s="3"/>
      <c r="F52" s="3"/>
      <c r="G52" s="3"/>
      <c r="H52" s="3"/>
      <c r="I52" s="3"/>
    </row>
    <row r="53" spans="2:9" hidden="1" outlineLevel="1">
      <c r="C53" s="3" t="str">
        <f>PlayerPool!B48</f>
        <v>Andrew Strauss</v>
      </c>
      <c r="D53" s="3">
        <f>Batting!G58+Bowling!G58+Fielding!G58</f>
        <v>0</v>
      </c>
      <c r="E53" s="3">
        <f>Batting!I58+Bowling!I58+Fielding!I58</f>
        <v>0</v>
      </c>
      <c r="F53" s="3">
        <f>Batting!K58+Bowling!K58+Fielding!K58</f>
        <v>0</v>
      </c>
      <c r="G53" s="3">
        <f>Batting!M58+Bowling!M58+Fielding!M58</f>
        <v>0</v>
      </c>
      <c r="H53" s="3">
        <f>Batting!O58+Bowling!O58+Fielding!O58</f>
        <v>0</v>
      </c>
      <c r="I53" s="3">
        <f t="shared" si="0"/>
        <v>0</v>
      </c>
    </row>
    <row r="54" spans="2:9" hidden="1" outlineLevel="1">
      <c r="C54" s="3" t="str">
        <f>PlayerPool!B49</f>
        <v>James Anderson</v>
      </c>
      <c r="D54" s="3">
        <f>Batting!G59+Bowling!G59+Fielding!G59</f>
        <v>0</v>
      </c>
      <c r="E54" s="3">
        <f>Batting!I59+Bowling!I59+Fielding!I59</f>
        <v>0</v>
      </c>
      <c r="F54" s="3">
        <f>Batting!K59+Bowling!K59+Fielding!K59</f>
        <v>0</v>
      </c>
      <c r="G54" s="3">
        <f>Batting!M59+Bowling!M59+Fielding!M59</f>
        <v>0</v>
      </c>
      <c r="H54" s="3">
        <f>Batting!O59+Bowling!O59+Fielding!O59</f>
        <v>0</v>
      </c>
      <c r="I54" s="3">
        <f t="shared" si="0"/>
        <v>0</v>
      </c>
    </row>
    <row r="55" spans="2:9" hidden="1" outlineLevel="1">
      <c r="C55" s="3" t="str">
        <f>PlayerPool!B50</f>
        <v>Ian Bell</v>
      </c>
      <c r="D55" s="3">
        <f>Batting!G60+Bowling!G60+Fielding!G60</f>
        <v>0</v>
      </c>
      <c r="E55" s="3">
        <f>Batting!I60+Bowling!I60+Fielding!I60</f>
        <v>0</v>
      </c>
      <c r="F55" s="3">
        <f>Batting!K60+Bowling!K60+Fielding!K60</f>
        <v>0</v>
      </c>
      <c r="G55" s="3">
        <f>Batting!M60+Bowling!M60+Fielding!M60</f>
        <v>0</v>
      </c>
      <c r="H55" s="3">
        <f>Batting!O60+Bowling!O60+Fielding!O60</f>
        <v>0</v>
      </c>
      <c r="I55" s="3">
        <f t="shared" si="0"/>
        <v>0</v>
      </c>
    </row>
    <row r="56" spans="2:9" hidden="1" outlineLevel="1">
      <c r="C56" s="3" t="str">
        <f>PlayerPool!B51</f>
        <v>Ravi Bopara</v>
      </c>
      <c r="D56" s="3">
        <f>Batting!G61+Bowling!G61+Fielding!G61</f>
        <v>0</v>
      </c>
      <c r="E56" s="3">
        <f>Batting!I61+Bowling!I61+Fielding!I61</f>
        <v>0</v>
      </c>
      <c r="F56" s="3">
        <f>Batting!K61+Bowling!K61+Fielding!K61</f>
        <v>0</v>
      </c>
      <c r="G56" s="3">
        <f>Batting!M61+Bowling!M61+Fielding!M61</f>
        <v>0</v>
      </c>
      <c r="H56" s="3">
        <f>Batting!O61+Bowling!O61+Fielding!O61</f>
        <v>0</v>
      </c>
      <c r="I56" s="3">
        <f t="shared" si="0"/>
        <v>0</v>
      </c>
    </row>
    <row r="57" spans="2:9" hidden="1" outlineLevel="1">
      <c r="C57" s="3" t="str">
        <f>PlayerPool!B52</f>
        <v>Tim Bresnan</v>
      </c>
      <c r="D57" s="3">
        <f>Batting!G62+Bowling!G62+Fielding!G62</f>
        <v>0</v>
      </c>
      <c r="E57" s="3">
        <f>Batting!I62+Bowling!I62+Fielding!I62</f>
        <v>0</v>
      </c>
      <c r="F57" s="3">
        <f>Batting!K62+Bowling!K62+Fielding!K62</f>
        <v>0</v>
      </c>
      <c r="G57" s="3">
        <f>Batting!M62+Bowling!M62+Fielding!M62</f>
        <v>0</v>
      </c>
      <c r="H57" s="3">
        <f>Batting!O62+Bowling!O62+Fielding!O62</f>
        <v>0</v>
      </c>
      <c r="I57" s="3">
        <f t="shared" si="0"/>
        <v>0</v>
      </c>
    </row>
    <row r="58" spans="2:9" hidden="1" outlineLevel="1">
      <c r="C58" s="3" t="str">
        <f>PlayerPool!B53</f>
        <v>Stuart Broad</v>
      </c>
      <c r="D58" s="3">
        <f>Batting!G63+Bowling!G63+Fielding!G63</f>
        <v>0</v>
      </c>
      <c r="E58" s="3">
        <f>Batting!I63+Bowling!I63+Fielding!I63</f>
        <v>0</v>
      </c>
      <c r="F58" s="3">
        <f>Batting!K63+Bowling!K63+Fielding!K63</f>
        <v>0</v>
      </c>
      <c r="G58" s="3">
        <f>Batting!M63+Bowling!M63+Fielding!M63</f>
        <v>0</v>
      </c>
      <c r="H58" s="3">
        <f>Batting!O63+Bowling!O63+Fielding!O63</f>
        <v>0</v>
      </c>
      <c r="I58" s="3">
        <f t="shared" si="0"/>
        <v>0</v>
      </c>
    </row>
    <row r="59" spans="2:9" hidden="1" outlineLevel="1">
      <c r="C59" s="3" t="str">
        <f>PlayerPool!B54</f>
        <v>Paul Collingwood</v>
      </c>
      <c r="D59" s="3">
        <f>Batting!G64+Bowling!G64+Fielding!G64</f>
        <v>0</v>
      </c>
      <c r="E59" s="3">
        <f>Batting!I64+Bowling!I64+Fielding!I64</f>
        <v>0</v>
      </c>
      <c r="F59" s="3">
        <f>Batting!K64+Bowling!K64+Fielding!K64</f>
        <v>0</v>
      </c>
      <c r="G59" s="3">
        <f>Batting!M64+Bowling!M64+Fielding!M64</f>
        <v>0</v>
      </c>
      <c r="H59" s="3">
        <f>Batting!O64+Bowling!O64+Fielding!O64</f>
        <v>0</v>
      </c>
      <c r="I59" s="3">
        <f t="shared" si="0"/>
        <v>0</v>
      </c>
    </row>
    <row r="60" spans="2:9" hidden="1" outlineLevel="1">
      <c r="C60" s="3" t="str">
        <f>PlayerPool!B55</f>
        <v>Kevin Pietersen</v>
      </c>
      <c r="D60" s="3">
        <f>Batting!G65+Bowling!G65+Fielding!G65</f>
        <v>0</v>
      </c>
      <c r="E60" s="3">
        <f>Batting!I65+Bowling!I65+Fielding!I65</f>
        <v>0</v>
      </c>
      <c r="F60" s="3">
        <f>Batting!K65+Bowling!K65+Fielding!K65</f>
        <v>0</v>
      </c>
      <c r="G60" s="3">
        <f>Batting!M65+Bowling!M65+Fielding!M65</f>
        <v>0</v>
      </c>
      <c r="H60" s="3">
        <f>Batting!O65+Bowling!O65+Fielding!O65</f>
        <v>0</v>
      </c>
      <c r="I60" s="3">
        <f t="shared" si="0"/>
        <v>0</v>
      </c>
    </row>
    <row r="61" spans="2:9" hidden="1" outlineLevel="1">
      <c r="C61" s="3" t="str">
        <f>PlayerPool!B56</f>
        <v>Matt Prior</v>
      </c>
      <c r="D61" s="3">
        <f>Batting!G66+Bowling!G66+Fielding!G66</f>
        <v>0</v>
      </c>
      <c r="E61" s="3">
        <f>Batting!I66+Bowling!I66+Fielding!I66</f>
        <v>0</v>
      </c>
      <c r="F61" s="3">
        <f>Batting!K66+Bowling!K66+Fielding!K66</f>
        <v>0</v>
      </c>
      <c r="G61" s="3">
        <f>Batting!M66+Bowling!M66+Fielding!M66</f>
        <v>0</v>
      </c>
      <c r="H61" s="3">
        <f>Batting!O66+Bowling!O66+Fielding!O66</f>
        <v>0</v>
      </c>
      <c r="I61" s="3">
        <f t="shared" si="0"/>
        <v>0</v>
      </c>
    </row>
    <row r="62" spans="2:9" hidden="1" outlineLevel="1">
      <c r="C62" s="3" t="str">
        <f>PlayerPool!B57</f>
        <v>Ajmal Shahzad</v>
      </c>
      <c r="D62" s="3">
        <f>Batting!G67+Bowling!G67+Fielding!G67</f>
        <v>0</v>
      </c>
      <c r="E62" s="3">
        <f>Batting!I67+Bowling!I67+Fielding!I67</f>
        <v>0</v>
      </c>
      <c r="F62" s="3">
        <f>Batting!K67+Bowling!K67+Fielding!K67</f>
        <v>0</v>
      </c>
      <c r="G62" s="3">
        <f>Batting!M67+Bowling!M67+Fielding!M67</f>
        <v>0</v>
      </c>
      <c r="H62" s="3">
        <f>Batting!O67+Bowling!O67+Fielding!O67</f>
        <v>0</v>
      </c>
      <c r="I62" s="3">
        <f t="shared" si="0"/>
        <v>0</v>
      </c>
    </row>
    <row r="63" spans="2:9" hidden="1" outlineLevel="1">
      <c r="C63" s="3" t="str">
        <f>PlayerPool!B58</f>
        <v>Graeme Swann</v>
      </c>
      <c r="D63" s="3">
        <f>Batting!G68+Bowling!G68+Fielding!G68</f>
        <v>0</v>
      </c>
      <c r="E63" s="3">
        <f>Batting!I68+Bowling!I68+Fielding!I68</f>
        <v>0</v>
      </c>
      <c r="F63" s="3">
        <f>Batting!K68+Bowling!K68+Fielding!K68</f>
        <v>0</v>
      </c>
      <c r="G63" s="3">
        <f>Batting!M68+Bowling!M68+Fielding!M68</f>
        <v>0</v>
      </c>
      <c r="H63" s="3">
        <f>Batting!O68+Bowling!O68+Fielding!O68</f>
        <v>0</v>
      </c>
      <c r="I63" s="3">
        <f t="shared" si="0"/>
        <v>0</v>
      </c>
    </row>
    <row r="64" spans="2:9" hidden="1" outlineLevel="1">
      <c r="C64" s="3" t="str">
        <f>PlayerPool!B59</f>
        <v>James Tredwell</v>
      </c>
      <c r="D64" s="3">
        <f>Batting!G69+Bowling!G69+Fielding!G69</f>
        <v>0</v>
      </c>
      <c r="E64" s="3">
        <f>Batting!I69+Bowling!I69+Fielding!I69</f>
        <v>0</v>
      </c>
      <c r="F64" s="3">
        <f>Batting!K69+Bowling!K69+Fielding!K69</f>
        <v>0</v>
      </c>
      <c r="G64" s="3">
        <f>Batting!M69+Bowling!M69+Fielding!M69</f>
        <v>0</v>
      </c>
      <c r="H64" s="3">
        <f>Batting!O69+Bowling!O69+Fielding!O69</f>
        <v>0</v>
      </c>
      <c r="I64" s="3">
        <f t="shared" si="0"/>
        <v>0</v>
      </c>
    </row>
    <row r="65" spans="2:9" hidden="1" outlineLevel="1">
      <c r="C65" s="3" t="str">
        <f>PlayerPool!B60</f>
        <v>Jonathan Trott</v>
      </c>
      <c r="D65" s="3">
        <f>Batting!G70+Bowling!G70+Fielding!G70</f>
        <v>0</v>
      </c>
      <c r="E65" s="3">
        <f>Batting!I70+Bowling!I70+Fielding!I70</f>
        <v>0</v>
      </c>
      <c r="F65" s="3">
        <f>Batting!K70+Bowling!K70+Fielding!K70</f>
        <v>0</v>
      </c>
      <c r="G65" s="3">
        <f>Batting!M70+Bowling!M70+Fielding!M70</f>
        <v>0</v>
      </c>
      <c r="H65" s="3">
        <f>Batting!O70+Bowling!O70+Fielding!O70</f>
        <v>0</v>
      </c>
      <c r="I65" s="3">
        <f t="shared" si="0"/>
        <v>0</v>
      </c>
    </row>
    <row r="66" spans="2:9" hidden="1" outlineLevel="1">
      <c r="C66" s="3" t="str">
        <f>PlayerPool!B61</f>
        <v>Luke Wright</v>
      </c>
      <c r="D66" s="3">
        <f>Batting!G71+Bowling!G71+Fielding!G71</f>
        <v>0</v>
      </c>
      <c r="E66" s="3">
        <f>Batting!I71+Bowling!I71+Fielding!I71</f>
        <v>0</v>
      </c>
      <c r="F66" s="3">
        <f>Batting!K71+Bowling!K71+Fielding!K71</f>
        <v>0</v>
      </c>
      <c r="G66" s="3">
        <f>Batting!M71+Bowling!M71+Fielding!M71</f>
        <v>0</v>
      </c>
      <c r="H66" s="3">
        <f>Batting!O71+Bowling!O71+Fielding!O71</f>
        <v>0</v>
      </c>
      <c r="I66" s="3">
        <f t="shared" si="0"/>
        <v>0</v>
      </c>
    </row>
    <row r="67" spans="2:9" hidden="1" outlineLevel="1">
      <c r="C67" s="3" t="str">
        <f>PlayerPool!B62</f>
        <v>Michael Yardy</v>
      </c>
      <c r="D67" s="3">
        <f>Batting!G72+Bowling!G72+Fielding!G72</f>
        <v>0</v>
      </c>
      <c r="E67" s="3">
        <f>Batting!I72+Bowling!I72+Fielding!I72</f>
        <v>0</v>
      </c>
      <c r="F67" s="3">
        <f>Batting!K72+Bowling!K72+Fielding!K72</f>
        <v>0</v>
      </c>
      <c r="G67" s="3">
        <f>Batting!M72+Bowling!M72+Fielding!M72</f>
        <v>0</v>
      </c>
      <c r="H67" s="3">
        <f>Batting!O72+Bowling!O72+Fielding!O72</f>
        <v>0</v>
      </c>
      <c r="I67" s="3">
        <f t="shared" si="0"/>
        <v>0</v>
      </c>
    </row>
    <row r="68" spans="2:9" collapsed="1">
      <c r="B68" s="5" t="s">
        <v>100</v>
      </c>
      <c r="D68" s="3"/>
      <c r="E68" s="3"/>
      <c r="F68" s="3"/>
      <c r="G68" s="3"/>
      <c r="H68" s="3"/>
      <c r="I68" s="3"/>
    </row>
    <row r="69" spans="2:9" hidden="1" outlineLevel="1">
      <c r="C69" s="3" t="str">
        <f>PlayerPool!B63</f>
        <v>Kumar Sangakkara</v>
      </c>
      <c r="D69" s="3">
        <f>Batting!G74+Bowling!G74+Fielding!G74</f>
        <v>0</v>
      </c>
      <c r="E69" s="3">
        <f>Batting!I74+Bowling!I74+Fielding!I74</f>
        <v>0</v>
      </c>
      <c r="F69" s="3">
        <f>Batting!K74+Bowling!K74+Fielding!K74</f>
        <v>0</v>
      </c>
      <c r="G69" s="3">
        <f>Batting!M74+Bowling!M74+Fielding!M74</f>
        <v>0</v>
      </c>
      <c r="H69" s="3">
        <f>Batting!O74+Bowling!O74+Fielding!O74</f>
        <v>0</v>
      </c>
      <c r="I69" s="3">
        <f t="shared" si="0"/>
        <v>0</v>
      </c>
    </row>
    <row r="70" spans="2:9" hidden="1" outlineLevel="1">
      <c r="C70" s="3" t="str">
        <f>PlayerPool!B64</f>
        <v>Mahela Jayawardene</v>
      </c>
      <c r="D70" s="3">
        <f>Batting!G75+Bowling!G75+Fielding!G75</f>
        <v>0</v>
      </c>
      <c r="E70" s="3">
        <f>Batting!I75+Bowling!I75+Fielding!I75</f>
        <v>0</v>
      </c>
      <c r="F70" s="3">
        <f>Batting!K75+Bowling!K75+Fielding!K75</f>
        <v>0</v>
      </c>
      <c r="G70" s="3">
        <f>Batting!M75+Bowling!M75+Fielding!M75</f>
        <v>0</v>
      </c>
      <c r="H70" s="3">
        <f>Batting!O75+Bowling!O75+Fielding!O75</f>
        <v>0</v>
      </c>
      <c r="I70" s="3">
        <f t="shared" ref="I70:I133" si="1">SUM(D70:H70)</f>
        <v>0</v>
      </c>
    </row>
    <row r="71" spans="2:9" hidden="1" outlineLevel="1">
      <c r="C71" s="3" t="str">
        <f>PlayerPool!B65</f>
        <v>Tillakaratne Dilshan</v>
      </c>
      <c r="D71" s="3">
        <f>Batting!G76+Bowling!G76+Fielding!G76</f>
        <v>0</v>
      </c>
      <c r="E71" s="3">
        <f>Batting!I76+Bowling!I76+Fielding!I76</f>
        <v>0</v>
      </c>
      <c r="F71" s="3">
        <f>Batting!K76+Bowling!K76+Fielding!K76</f>
        <v>0</v>
      </c>
      <c r="G71" s="3">
        <f>Batting!M76+Bowling!M76+Fielding!M76</f>
        <v>0</v>
      </c>
      <c r="H71" s="3">
        <f>Batting!O76+Bowling!O76+Fielding!O76</f>
        <v>0</v>
      </c>
      <c r="I71" s="3">
        <f t="shared" si="1"/>
        <v>0</v>
      </c>
    </row>
    <row r="72" spans="2:9" hidden="1" outlineLevel="1">
      <c r="C72" s="3" t="str">
        <f>PlayerPool!B66</f>
        <v>Dilhara Fernando</v>
      </c>
      <c r="D72" s="3">
        <f>Batting!G77+Bowling!G77+Fielding!G77</f>
        <v>0</v>
      </c>
      <c r="E72" s="3">
        <f>Batting!I77+Bowling!I77+Fielding!I77</f>
        <v>0</v>
      </c>
      <c r="F72" s="3">
        <f>Batting!K77+Bowling!K77+Fielding!K77</f>
        <v>0</v>
      </c>
      <c r="G72" s="3">
        <f>Batting!M77+Bowling!M77+Fielding!M77</f>
        <v>0</v>
      </c>
      <c r="H72" s="3">
        <f>Batting!O77+Bowling!O77+Fielding!O77</f>
        <v>0</v>
      </c>
      <c r="I72" s="3">
        <f t="shared" si="1"/>
        <v>0</v>
      </c>
    </row>
    <row r="73" spans="2:9" hidden="1" outlineLevel="1">
      <c r="C73" s="3" t="str">
        <f>PlayerPool!B67</f>
        <v>Rangana Herath</v>
      </c>
      <c r="D73" s="3">
        <f>Batting!G78+Bowling!G78+Fielding!G78</f>
        <v>0</v>
      </c>
      <c r="E73" s="3">
        <f>Batting!I78+Bowling!I78+Fielding!I78</f>
        <v>0</v>
      </c>
      <c r="F73" s="3">
        <f>Batting!K78+Bowling!K78+Fielding!K78</f>
        <v>0</v>
      </c>
      <c r="G73" s="3">
        <f>Batting!M78+Bowling!M78+Fielding!M78</f>
        <v>0</v>
      </c>
      <c r="H73" s="3">
        <f>Batting!O78+Bowling!O78+Fielding!O78</f>
        <v>0</v>
      </c>
      <c r="I73" s="3">
        <f t="shared" si="1"/>
        <v>0</v>
      </c>
    </row>
    <row r="74" spans="2:9" hidden="1" outlineLevel="1">
      <c r="C74" s="3" t="str">
        <f>PlayerPool!B68</f>
        <v>Chamara Kapugedera</v>
      </c>
      <c r="D74" s="3">
        <f>Batting!G79+Bowling!G79+Fielding!G79</f>
        <v>0</v>
      </c>
      <c r="E74" s="3">
        <f>Batting!I79+Bowling!I79+Fielding!I79</f>
        <v>0</v>
      </c>
      <c r="F74" s="3">
        <f>Batting!K79+Bowling!K79+Fielding!K79</f>
        <v>0</v>
      </c>
      <c r="G74" s="3">
        <f>Batting!M79+Bowling!M79+Fielding!M79</f>
        <v>0</v>
      </c>
      <c r="H74" s="3">
        <f>Batting!O79+Bowling!O79+Fielding!O79</f>
        <v>0</v>
      </c>
      <c r="I74" s="3">
        <f t="shared" si="1"/>
        <v>0</v>
      </c>
    </row>
    <row r="75" spans="2:9" hidden="1" outlineLevel="1">
      <c r="C75" s="3" t="str">
        <f>PlayerPool!B69</f>
        <v>Nuwan Kulasekara</v>
      </c>
      <c r="D75" s="3">
        <f>Batting!G80+Bowling!G80+Fielding!G80</f>
        <v>0</v>
      </c>
      <c r="E75" s="3">
        <f>Batting!I80+Bowling!I80+Fielding!I80</f>
        <v>0</v>
      </c>
      <c r="F75" s="3">
        <f>Batting!K80+Bowling!K80+Fielding!K80</f>
        <v>0</v>
      </c>
      <c r="G75" s="3">
        <f>Batting!M80+Bowling!M80+Fielding!M80</f>
        <v>0</v>
      </c>
      <c r="H75" s="3">
        <f>Batting!O80+Bowling!O80+Fielding!O80</f>
        <v>0</v>
      </c>
      <c r="I75" s="3">
        <f t="shared" si="1"/>
        <v>0</v>
      </c>
    </row>
    <row r="76" spans="2:9" hidden="1" outlineLevel="1">
      <c r="C76" s="3" t="str">
        <f>PlayerPool!B70</f>
        <v>Lasith Malinga</v>
      </c>
      <c r="D76" s="3">
        <f>Batting!G81+Bowling!G81+Fielding!G81</f>
        <v>0</v>
      </c>
      <c r="E76" s="3">
        <f>Batting!I81+Bowling!I81+Fielding!I81</f>
        <v>0</v>
      </c>
      <c r="F76" s="3">
        <f>Batting!K81+Bowling!K81+Fielding!K81</f>
        <v>0</v>
      </c>
      <c r="G76" s="3">
        <f>Batting!M81+Bowling!M81+Fielding!M81</f>
        <v>0</v>
      </c>
      <c r="H76" s="3">
        <f>Batting!O81+Bowling!O81+Fielding!O81</f>
        <v>0</v>
      </c>
      <c r="I76" s="3">
        <f t="shared" si="1"/>
        <v>0</v>
      </c>
    </row>
    <row r="77" spans="2:9" hidden="1" outlineLevel="1">
      <c r="C77" s="3" t="str">
        <f>PlayerPool!B71</f>
        <v>Angelo Mathews</v>
      </c>
      <c r="D77" s="3">
        <f>Batting!G82+Bowling!G82+Fielding!G82</f>
        <v>0</v>
      </c>
      <c r="E77" s="3">
        <f>Batting!I82+Bowling!I82+Fielding!I82</f>
        <v>0</v>
      </c>
      <c r="F77" s="3">
        <f>Batting!K82+Bowling!K82+Fielding!K82</f>
        <v>0</v>
      </c>
      <c r="G77" s="3">
        <f>Batting!M82+Bowling!M82+Fielding!M82</f>
        <v>0</v>
      </c>
      <c r="H77" s="3">
        <f>Batting!O82+Bowling!O82+Fielding!O82</f>
        <v>0</v>
      </c>
      <c r="I77" s="3">
        <f t="shared" si="1"/>
        <v>0</v>
      </c>
    </row>
    <row r="78" spans="2:9" hidden="1" outlineLevel="1">
      <c r="C78" s="3" t="str">
        <f>PlayerPool!B72</f>
        <v>Ajantha Mendis</v>
      </c>
      <c r="D78" s="3">
        <f>Batting!G83+Bowling!G83+Fielding!G83</f>
        <v>0</v>
      </c>
      <c r="E78" s="3">
        <f>Batting!I83+Bowling!I83+Fielding!I83</f>
        <v>0</v>
      </c>
      <c r="F78" s="3">
        <f>Batting!K83+Bowling!K83+Fielding!K83</f>
        <v>0</v>
      </c>
      <c r="G78" s="3">
        <f>Batting!M83+Bowling!M83+Fielding!M83</f>
        <v>0</v>
      </c>
      <c r="H78" s="3">
        <f>Batting!O83+Bowling!O83+Fielding!O83</f>
        <v>0</v>
      </c>
      <c r="I78" s="3">
        <f t="shared" si="1"/>
        <v>0</v>
      </c>
    </row>
    <row r="79" spans="2:9" hidden="1" outlineLevel="1">
      <c r="C79" s="3" t="str">
        <f>PlayerPool!B73</f>
        <v>Muttiah Muralitharan</v>
      </c>
      <c r="D79" s="3">
        <f>Batting!G84+Bowling!G84+Fielding!G84</f>
        <v>0</v>
      </c>
      <c r="E79" s="3">
        <f>Batting!I84+Bowling!I84+Fielding!I84</f>
        <v>0</v>
      </c>
      <c r="F79" s="3">
        <f>Batting!K84+Bowling!K84+Fielding!K84</f>
        <v>0</v>
      </c>
      <c r="G79" s="3">
        <f>Batting!M84+Bowling!M84+Fielding!M84</f>
        <v>0</v>
      </c>
      <c r="H79" s="3">
        <f>Batting!O84+Bowling!O84+Fielding!O84</f>
        <v>0</v>
      </c>
      <c r="I79" s="3">
        <f t="shared" si="1"/>
        <v>0</v>
      </c>
    </row>
    <row r="80" spans="2:9" hidden="1" outlineLevel="1">
      <c r="C80" s="3" t="str">
        <f>PlayerPool!B74</f>
        <v>Thisara Perera</v>
      </c>
      <c r="D80" s="3">
        <f>Batting!G85+Bowling!G85+Fielding!G85</f>
        <v>0</v>
      </c>
      <c r="E80" s="3">
        <f>Batting!I85+Bowling!I85+Fielding!I85</f>
        <v>0</v>
      </c>
      <c r="F80" s="3">
        <f>Batting!K85+Bowling!K85+Fielding!K85</f>
        <v>0</v>
      </c>
      <c r="G80" s="3">
        <f>Batting!M85+Bowling!M85+Fielding!M85</f>
        <v>0</v>
      </c>
      <c r="H80" s="3">
        <f>Batting!O85+Bowling!O85+Fielding!O85</f>
        <v>0</v>
      </c>
      <c r="I80" s="3">
        <f t="shared" si="1"/>
        <v>0</v>
      </c>
    </row>
    <row r="81" spans="2:9" hidden="1" outlineLevel="1">
      <c r="C81" s="3" t="str">
        <f>PlayerPool!B75</f>
        <v>Thilan Samaraweera</v>
      </c>
      <c r="D81" s="3">
        <f>Batting!G86+Bowling!G86+Fielding!G86</f>
        <v>0</v>
      </c>
      <c r="E81" s="3">
        <f>Batting!I86+Bowling!I86+Fielding!I86</f>
        <v>0</v>
      </c>
      <c r="F81" s="3">
        <f>Batting!K86+Bowling!K86+Fielding!K86</f>
        <v>0</v>
      </c>
      <c r="G81" s="3">
        <f>Batting!M86+Bowling!M86+Fielding!M86</f>
        <v>0</v>
      </c>
      <c r="H81" s="3">
        <f>Batting!O86+Bowling!O86+Fielding!O86</f>
        <v>0</v>
      </c>
      <c r="I81" s="3">
        <f t="shared" si="1"/>
        <v>0</v>
      </c>
    </row>
    <row r="82" spans="2:9" hidden="1" outlineLevel="1">
      <c r="C82" s="3" t="str">
        <f>PlayerPool!B76</f>
        <v>Chamara Silva</v>
      </c>
      <c r="D82" s="3">
        <f>Batting!G87+Bowling!G87+Fielding!G87</f>
        <v>0</v>
      </c>
      <c r="E82" s="3">
        <f>Batting!I87+Bowling!I87+Fielding!I87</f>
        <v>0</v>
      </c>
      <c r="F82" s="3">
        <f>Batting!K87+Bowling!K87+Fielding!K87</f>
        <v>0</v>
      </c>
      <c r="G82" s="3">
        <f>Batting!M87+Bowling!M87+Fielding!M87</f>
        <v>0</v>
      </c>
      <c r="H82" s="3">
        <f>Batting!O87+Bowling!O87+Fielding!O87</f>
        <v>0</v>
      </c>
      <c r="I82" s="3">
        <f t="shared" si="1"/>
        <v>0</v>
      </c>
    </row>
    <row r="83" spans="2:9" hidden="1" outlineLevel="1">
      <c r="C83" s="3" t="str">
        <f>PlayerPool!B77</f>
        <v>Upul Tharanga</v>
      </c>
      <c r="D83" s="3">
        <f>Batting!G88+Bowling!G88+Fielding!G88</f>
        <v>0</v>
      </c>
      <c r="E83" s="3">
        <f>Batting!I88+Bowling!I88+Fielding!I88</f>
        <v>0</v>
      </c>
      <c r="F83" s="3">
        <f>Batting!K88+Bowling!K88+Fielding!K88</f>
        <v>0</v>
      </c>
      <c r="G83" s="3">
        <f>Batting!M88+Bowling!M88+Fielding!M88</f>
        <v>0</v>
      </c>
      <c r="H83" s="3">
        <f>Batting!O88+Bowling!O88+Fielding!O88</f>
        <v>0</v>
      </c>
      <c r="I83" s="3">
        <f t="shared" si="1"/>
        <v>0</v>
      </c>
    </row>
    <row r="84" spans="2:9" collapsed="1">
      <c r="B84" s="5" t="s">
        <v>98</v>
      </c>
      <c r="D84" s="3"/>
      <c r="E84" s="3"/>
      <c r="F84" s="3"/>
      <c r="G84" s="3"/>
      <c r="H84" s="3"/>
      <c r="I84" s="3"/>
    </row>
    <row r="85" spans="2:9" hidden="1" outlineLevel="1">
      <c r="C85" s="3" t="str">
        <f>PlayerPool!B78</f>
        <v>Shahid Afridi</v>
      </c>
      <c r="D85" s="3">
        <f>Batting!G90+Bowling!G90+Fielding!G90</f>
        <v>0</v>
      </c>
      <c r="E85" s="3">
        <f>Batting!I90+Bowling!I90+Fielding!I90</f>
        <v>0</v>
      </c>
      <c r="F85" s="3">
        <f>Batting!K90+Bowling!K90+Fielding!K90</f>
        <v>0</v>
      </c>
      <c r="G85" s="3">
        <f>Batting!M90+Bowling!M90+Fielding!M90</f>
        <v>0</v>
      </c>
      <c r="H85" s="3">
        <f>Batting!O90+Bowling!O90+Fielding!O90</f>
        <v>0</v>
      </c>
      <c r="I85" s="3">
        <f t="shared" si="1"/>
        <v>0</v>
      </c>
    </row>
    <row r="86" spans="2:9" hidden="1" outlineLevel="1">
      <c r="C86" s="3" t="str">
        <f>PlayerPool!B79</f>
        <v>Misbah-ul-Haq</v>
      </c>
      <c r="D86" s="3">
        <f>Batting!G91+Bowling!G91+Fielding!G91</f>
        <v>0</v>
      </c>
      <c r="E86" s="3">
        <f>Batting!I91+Bowling!I91+Fielding!I91</f>
        <v>0</v>
      </c>
      <c r="F86" s="3">
        <f>Batting!K91+Bowling!K91+Fielding!K91</f>
        <v>0</v>
      </c>
      <c r="G86" s="3">
        <f>Batting!M91+Bowling!M91+Fielding!M91</f>
        <v>0</v>
      </c>
      <c r="H86" s="3">
        <f>Batting!O91+Bowling!O91+Fielding!O91</f>
        <v>0</v>
      </c>
      <c r="I86" s="3">
        <f t="shared" si="1"/>
        <v>0</v>
      </c>
    </row>
    <row r="87" spans="2:9" hidden="1" outlineLevel="1">
      <c r="C87" s="3" t="str">
        <f>PlayerPool!B80</f>
        <v>Abdul Razzaq</v>
      </c>
      <c r="D87" s="3">
        <f>Batting!G92+Bowling!G92+Fielding!G92</f>
        <v>0</v>
      </c>
      <c r="E87" s="3">
        <f>Batting!I92+Bowling!I92+Fielding!I92</f>
        <v>0</v>
      </c>
      <c r="F87" s="3">
        <f>Batting!K92+Bowling!K92+Fielding!K92</f>
        <v>0</v>
      </c>
      <c r="G87" s="3">
        <f>Batting!M92+Bowling!M92+Fielding!M92</f>
        <v>0</v>
      </c>
      <c r="H87" s="3">
        <f>Batting!O92+Bowling!O92+Fielding!O92</f>
        <v>0</v>
      </c>
      <c r="I87" s="3">
        <f t="shared" si="1"/>
        <v>0</v>
      </c>
    </row>
    <row r="88" spans="2:9" hidden="1" outlineLevel="1">
      <c r="C88" s="3" t="str">
        <f>PlayerPool!B81</f>
        <v>Abdur Rehman</v>
      </c>
      <c r="D88" s="3">
        <f>Batting!G93+Bowling!G93+Fielding!G93</f>
        <v>0</v>
      </c>
      <c r="E88" s="3">
        <f>Batting!I93+Bowling!I93+Fielding!I93</f>
        <v>0</v>
      </c>
      <c r="F88" s="3">
        <f>Batting!K93+Bowling!K93+Fielding!K93</f>
        <v>0</v>
      </c>
      <c r="G88" s="3">
        <f>Batting!M93+Bowling!M93+Fielding!M93</f>
        <v>0</v>
      </c>
      <c r="H88" s="3">
        <f>Batting!O93+Bowling!O93+Fielding!O93</f>
        <v>0</v>
      </c>
      <c r="I88" s="3">
        <f t="shared" si="1"/>
        <v>0</v>
      </c>
    </row>
    <row r="89" spans="2:9" hidden="1" outlineLevel="1">
      <c r="C89" s="3" t="str">
        <f>PlayerPool!B82</f>
        <v>Ahmed Shehzad</v>
      </c>
      <c r="D89" s="3">
        <f>Batting!G94+Bowling!G94+Fielding!G94</f>
        <v>0</v>
      </c>
      <c r="E89" s="3">
        <f>Batting!I94+Bowling!I94+Fielding!I94</f>
        <v>0</v>
      </c>
      <c r="F89" s="3">
        <f>Batting!K94+Bowling!K94+Fielding!K94</f>
        <v>0</v>
      </c>
      <c r="G89" s="3">
        <f>Batting!M94+Bowling!M94+Fielding!M94</f>
        <v>0</v>
      </c>
      <c r="H89" s="3">
        <f>Batting!O94+Bowling!O94+Fielding!O94</f>
        <v>0</v>
      </c>
      <c r="I89" s="3">
        <f t="shared" si="1"/>
        <v>0</v>
      </c>
    </row>
    <row r="90" spans="2:9" hidden="1" outlineLevel="1">
      <c r="C90" s="3" t="str">
        <f>PlayerPool!B83</f>
        <v>Asad Shafiq</v>
      </c>
      <c r="D90" s="3">
        <f>Batting!G95+Bowling!G95+Fielding!G95</f>
        <v>0</v>
      </c>
      <c r="E90" s="3">
        <f>Batting!I95+Bowling!I95+Fielding!I95</f>
        <v>0</v>
      </c>
      <c r="F90" s="3">
        <f>Batting!K95+Bowling!K95+Fielding!K95</f>
        <v>0</v>
      </c>
      <c r="G90" s="3">
        <f>Batting!M95+Bowling!M95+Fielding!M95</f>
        <v>0</v>
      </c>
      <c r="H90" s="3">
        <f>Batting!O95+Bowling!O95+Fielding!O95</f>
        <v>0</v>
      </c>
      <c r="I90" s="3">
        <f t="shared" si="1"/>
        <v>0</v>
      </c>
    </row>
    <row r="91" spans="2:9" hidden="1" outlineLevel="1">
      <c r="C91" s="3" t="str">
        <f>PlayerPool!B84</f>
        <v>Junaid Khan</v>
      </c>
      <c r="D91" s="3">
        <f>Batting!G96+Bowling!G96+Fielding!G96</f>
        <v>0</v>
      </c>
      <c r="E91" s="3">
        <f>Batting!I96+Bowling!I96+Fielding!I96</f>
        <v>0</v>
      </c>
      <c r="F91" s="3">
        <f>Batting!K96+Bowling!K96+Fielding!K96</f>
        <v>0</v>
      </c>
      <c r="G91" s="3">
        <f>Batting!M96+Bowling!M96+Fielding!M96</f>
        <v>0</v>
      </c>
      <c r="H91" s="3">
        <f>Batting!O96+Bowling!O96+Fielding!O96</f>
        <v>0</v>
      </c>
      <c r="I91" s="3">
        <f t="shared" si="1"/>
        <v>0</v>
      </c>
    </row>
    <row r="92" spans="2:9" hidden="1" outlineLevel="1">
      <c r="C92" s="3" t="str">
        <f>PlayerPool!B85</f>
        <v>Kamran Akmal</v>
      </c>
      <c r="D92" s="3">
        <f>Batting!G97+Bowling!G97+Fielding!G97</f>
        <v>0</v>
      </c>
      <c r="E92" s="3">
        <f>Batting!I97+Bowling!I97+Fielding!I97</f>
        <v>0</v>
      </c>
      <c r="F92" s="3">
        <f>Batting!K97+Bowling!K97+Fielding!K97</f>
        <v>0</v>
      </c>
      <c r="G92" s="3">
        <f>Batting!M97+Bowling!M97+Fielding!M97</f>
        <v>0</v>
      </c>
      <c r="H92" s="3">
        <f>Batting!O97+Bowling!O97+Fielding!O97</f>
        <v>0</v>
      </c>
      <c r="I92" s="3">
        <f t="shared" si="1"/>
        <v>0</v>
      </c>
    </row>
    <row r="93" spans="2:9" hidden="1" outlineLevel="1">
      <c r="C93" s="3" t="str">
        <f>PlayerPool!B86</f>
        <v>Mohammad Hafeez</v>
      </c>
      <c r="D93" s="3">
        <f>Batting!G98+Bowling!G98+Fielding!G98</f>
        <v>0</v>
      </c>
      <c r="E93" s="3">
        <f>Batting!I98+Bowling!I98+Fielding!I98</f>
        <v>0</v>
      </c>
      <c r="F93" s="3">
        <f>Batting!K98+Bowling!K98+Fielding!K98</f>
        <v>0</v>
      </c>
      <c r="G93" s="3">
        <f>Batting!M98+Bowling!M98+Fielding!M98</f>
        <v>0</v>
      </c>
      <c r="H93" s="3">
        <f>Batting!O98+Bowling!O98+Fielding!O98</f>
        <v>0</v>
      </c>
      <c r="I93" s="3">
        <f t="shared" si="1"/>
        <v>0</v>
      </c>
    </row>
    <row r="94" spans="2:9" hidden="1" outlineLevel="1">
      <c r="C94" s="3" t="str">
        <f>PlayerPool!B87</f>
        <v>Saeed Ajmal</v>
      </c>
      <c r="D94" s="3">
        <f>Batting!G99+Bowling!G99+Fielding!G99</f>
        <v>0</v>
      </c>
      <c r="E94" s="3">
        <f>Batting!I99+Bowling!I99+Fielding!I99</f>
        <v>0</v>
      </c>
      <c r="F94" s="3">
        <f>Batting!K99+Bowling!K99+Fielding!K99</f>
        <v>0</v>
      </c>
      <c r="G94" s="3">
        <f>Batting!M99+Bowling!M99+Fielding!M99</f>
        <v>0</v>
      </c>
      <c r="H94" s="3">
        <f>Batting!O99+Bowling!O99+Fielding!O99</f>
        <v>0</v>
      </c>
      <c r="I94" s="3">
        <f t="shared" si="1"/>
        <v>0</v>
      </c>
    </row>
    <row r="95" spans="2:9" hidden="1" outlineLevel="1">
      <c r="C95" s="3" t="str">
        <f>PlayerPool!B88</f>
        <v>Shoaib Akhtar</v>
      </c>
      <c r="D95" s="3">
        <f>Batting!G100+Bowling!G100+Fielding!G100</f>
        <v>0</v>
      </c>
      <c r="E95" s="3">
        <f>Batting!I100+Bowling!I100+Fielding!I100</f>
        <v>0</v>
      </c>
      <c r="F95" s="3">
        <f>Batting!K100+Bowling!K100+Fielding!K100</f>
        <v>0</v>
      </c>
      <c r="G95" s="3">
        <f>Batting!M100+Bowling!M100+Fielding!M100</f>
        <v>0</v>
      </c>
      <c r="H95" s="3">
        <f>Batting!O100+Bowling!O100+Fielding!O100</f>
        <v>0</v>
      </c>
      <c r="I95" s="3">
        <f t="shared" si="1"/>
        <v>0</v>
      </c>
    </row>
    <row r="96" spans="2:9" hidden="1" outlineLevel="1">
      <c r="C96" s="3" t="str">
        <f>PlayerPool!B89</f>
        <v>Umar Akmal</v>
      </c>
      <c r="D96" s="3">
        <f>Batting!G101+Bowling!G101+Fielding!G101</f>
        <v>0</v>
      </c>
      <c r="E96" s="3">
        <f>Batting!I101+Bowling!I101+Fielding!I101</f>
        <v>0</v>
      </c>
      <c r="F96" s="3">
        <f>Batting!K101+Bowling!K101+Fielding!K101</f>
        <v>0</v>
      </c>
      <c r="G96" s="3">
        <f>Batting!M101+Bowling!M101+Fielding!M101</f>
        <v>0</v>
      </c>
      <c r="H96" s="3">
        <f>Batting!O101+Bowling!O101+Fielding!O101</f>
        <v>0</v>
      </c>
      <c r="I96" s="3">
        <f t="shared" si="1"/>
        <v>0</v>
      </c>
    </row>
    <row r="97" spans="2:9" hidden="1" outlineLevel="1">
      <c r="C97" s="3" t="str">
        <f>PlayerPool!B90</f>
        <v>Umar Gul</v>
      </c>
      <c r="D97" s="3">
        <f>Batting!G102+Bowling!G102+Fielding!G102</f>
        <v>0</v>
      </c>
      <c r="E97" s="3">
        <f>Batting!I102+Bowling!I102+Fielding!I102</f>
        <v>0</v>
      </c>
      <c r="F97" s="3">
        <f>Batting!K102+Bowling!K102+Fielding!K102</f>
        <v>0</v>
      </c>
      <c r="G97" s="3">
        <f>Batting!M102+Bowling!M102+Fielding!M102</f>
        <v>0</v>
      </c>
      <c r="H97" s="3">
        <f>Batting!O102+Bowling!O102+Fielding!O102</f>
        <v>0</v>
      </c>
      <c r="I97" s="3">
        <f t="shared" si="1"/>
        <v>0</v>
      </c>
    </row>
    <row r="98" spans="2:9" hidden="1" outlineLevel="1">
      <c r="C98" s="3" t="str">
        <f>PlayerPool!B91</f>
        <v>Wahab Riaz</v>
      </c>
      <c r="D98" s="3">
        <f>Batting!G103+Bowling!G103+Fielding!G103</f>
        <v>0</v>
      </c>
      <c r="E98" s="3">
        <f>Batting!I103+Bowling!I103+Fielding!I103</f>
        <v>0</v>
      </c>
      <c r="F98" s="3">
        <f>Batting!K103+Bowling!K103+Fielding!K103</f>
        <v>0</v>
      </c>
      <c r="G98" s="3">
        <f>Batting!M103+Bowling!M103+Fielding!M103</f>
        <v>0</v>
      </c>
      <c r="H98" s="3">
        <f>Batting!O103+Bowling!O103+Fielding!O103</f>
        <v>0</v>
      </c>
      <c r="I98" s="3">
        <f t="shared" si="1"/>
        <v>0</v>
      </c>
    </row>
    <row r="99" spans="2:9" hidden="1" outlineLevel="1">
      <c r="C99" s="3" t="str">
        <f>PlayerPool!B92</f>
        <v>Younis khan</v>
      </c>
      <c r="D99" s="3">
        <f>Batting!G104+Bowling!G104+Fielding!G104</f>
        <v>0</v>
      </c>
      <c r="E99" s="3">
        <f>Batting!I104+Bowling!I104+Fielding!I104</f>
        <v>0</v>
      </c>
      <c r="F99" s="3">
        <f>Batting!K104+Bowling!K104+Fielding!K104</f>
        <v>0</v>
      </c>
      <c r="G99" s="3">
        <f>Batting!M104+Bowling!M104+Fielding!M104</f>
        <v>0</v>
      </c>
      <c r="H99" s="3">
        <f>Batting!O104+Bowling!O104+Fielding!O104</f>
        <v>0</v>
      </c>
      <c r="I99" s="3">
        <f t="shared" si="1"/>
        <v>0</v>
      </c>
    </row>
    <row r="100" spans="2:9" collapsed="1">
      <c r="B100" s="5" t="s">
        <v>99</v>
      </c>
      <c r="D100" s="3"/>
      <c r="E100" s="3"/>
      <c r="F100" s="3"/>
      <c r="G100" s="3"/>
      <c r="H100" s="3"/>
      <c r="I100" s="3"/>
    </row>
    <row r="101" spans="2:9" hidden="1" outlineLevel="1">
      <c r="C101" s="3" t="str">
        <f>PlayerPool!B93</f>
        <v>Daniel Vettori</v>
      </c>
      <c r="D101" s="3">
        <f>Batting!G106+Bowling!G106+Fielding!G106</f>
        <v>0</v>
      </c>
      <c r="E101" s="3">
        <f>Batting!I106+Bowling!I106+Fielding!I106</f>
        <v>0</v>
      </c>
      <c r="F101" s="3">
        <f>Batting!K106+Bowling!K106+Fielding!K106</f>
        <v>0</v>
      </c>
      <c r="G101" s="3">
        <f>Batting!M106+Bowling!M106+Fielding!M106</f>
        <v>0</v>
      </c>
      <c r="H101" s="3">
        <f>Batting!O106+Bowling!O106+Fielding!O106</f>
        <v>0</v>
      </c>
      <c r="I101" s="3">
        <f t="shared" si="1"/>
        <v>0</v>
      </c>
    </row>
    <row r="102" spans="2:9" hidden="1" outlineLevel="1">
      <c r="C102" s="3" t="str">
        <f>PlayerPool!B94</f>
        <v>Hamish Bennett</v>
      </c>
      <c r="D102" s="3">
        <f>Batting!G107+Bowling!G107+Fielding!G107</f>
        <v>0</v>
      </c>
      <c r="E102" s="3">
        <f>Batting!I107+Bowling!I107+Fielding!I107</f>
        <v>0</v>
      </c>
      <c r="F102" s="3">
        <f>Batting!K107+Bowling!K107+Fielding!K107</f>
        <v>0</v>
      </c>
      <c r="G102" s="3">
        <f>Batting!M107+Bowling!M107+Fielding!M107</f>
        <v>0</v>
      </c>
      <c r="H102" s="3">
        <f>Batting!O107+Bowling!O107+Fielding!O107</f>
        <v>0</v>
      </c>
      <c r="I102" s="3">
        <f t="shared" si="1"/>
        <v>0</v>
      </c>
    </row>
    <row r="103" spans="2:9" hidden="1" outlineLevel="1">
      <c r="C103" s="3" t="str">
        <f>PlayerPool!B95</f>
        <v>James Franklin</v>
      </c>
      <c r="D103" s="3">
        <f>Batting!G108+Bowling!G108+Fielding!G108</f>
        <v>0</v>
      </c>
      <c r="E103" s="3">
        <f>Batting!I108+Bowling!I108+Fielding!I108</f>
        <v>0</v>
      </c>
      <c r="F103" s="3">
        <f>Batting!K108+Bowling!K108+Fielding!K108</f>
        <v>0</v>
      </c>
      <c r="G103" s="3">
        <f>Batting!M108+Bowling!M108+Fielding!M108</f>
        <v>0</v>
      </c>
      <c r="H103" s="3">
        <f>Batting!O108+Bowling!O108+Fielding!O108</f>
        <v>0</v>
      </c>
      <c r="I103" s="3">
        <f t="shared" si="1"/>
        <v>0</v>
      </c>
    </row>
    <row r="104" spans="2:9" hidden="1" outlineLevel="1">
      <c r="C104" s="3" t="str">
        <f>PlayerPool!B96</f>
        <v>Martin Guptill</v>
      </c>
      <c r="D104" s="3">
        <f>Batting!G109+Bowling!G109+Fielding!G109</f>
        <v>38</v>
      </c>
      <c r="E104" s="3">
        <f>Batting!I109+Bowling!I109+Fielding!I109</f>
        <v>0</v>
      </c>
      <c r="F104" s="3">
        <f>Batting!K109+Bowling!K109+Fielding!K109</f>
        <v>0</v>
      </c>
      <c r="G104" s="3">
        <f>Batting!M109+Bowling!M109+Fielding!M109</f>
        <v>0</v>
      </c>
      <c r="H104" s="3">
        <f>Batting!O109+Bowling!O109+Fielding!O109</f>
        <v>0</v>
      </c>
      <c r="I104" s="3">
        <f t="shared" si="1"/>
        <v>38</v>
      </c>
    </row>
    <row r="105" spans="2:9" hidden="1" outlineLevel="1">
      <c r="C105" s="3" t="str">
        <f>PlayerPool!B97</f>
        <v>Jamie How</v>
      </c>
      <c r="D105" s="3">
        <f>Batting!G110+Bowling!G110+Fielding!G110</f>
        <v>25</v>
      </c>
      <c r="E105" s="3">
        <f>Batting!I110+Bowling!I110+Fielding!I110</f>
        <v>0</v>
      </c>
      <c r="F105" s="3">
        <f>Batting!K110+Bowling!K110+Fielding!K110</f>
        <v>0</v>
      </c>
      <c r="G105" s="3">
        <f>Batting!M110+Bowling!M110+Fielding!M110</f>
        <v>0</v>
      </c>
      <c r="H105" s="3">
        <f>Batting!O110+Bowling!O110+Fielding!O110</f>
        <v>0</v>
      </c>
      <c r="I105" s="3">
        <f t="shared" si="1"/>
        <v>25</v>
      </c>
    </row>
    <row r="106" spans="2:9" hidden="1" outlineLevel="1">
      <c r="C106" s="3" t="str">
        <f>PlayerPool!B98</f>
        <v>Brendon McCullum</v>
      </c>
      <c r="D106" s="3">
        <f>Batting!G111+Bowling!G111+Fielding!G111</f>
        <v>78</v>
      </c>
      <c r="E106" s="3">
        <f>Batting!I111+Bowling!I111+Fielding!I111</f>
        <v>0</v>
      </c>
      <c r="F106" s="3">
        <f>Batting!K111+Bowling!K111+Fielding!K111</f>
        <v>0</v>
      </c>
      <c r="G106" s="3">
        <f>Batting!M111+Bowling!M111+Fielding!M111</f>
        <v>0</v>
      </c>
      <c r="H106" s="3">
        <f>Batting!O111+Bowling!O111+Fielding!O111</f>
        <v>0</v>
      </c>
      <c r="I106" s="3">
        <f t="shared" si="1"/>
        <v>78</v>
      </c>
    </row>
    <row r="107" spans="2:9" hidden="1" outlineLevel="1">
      <c r="C107" s="3" t="str">
        <f>PlayerPool!B99</f>
        <v>Nathan McCullum</v>
      </c>
      <c r="D107" s="3">
        <f>Batting!G112+Bowling!G112+Fielding!G112</f>
        <v>29</v>
      </c>
      <c r="E107" s="3">
        <f>Batting!I112+Bowling!I112+Fielding!I112</f>
        <v>0</v>
      </c>
      <c r="F107" s="3">
        <f>Batting!K112+Bowling!K112+Fielding!K112</f>
        <v>0</v>
      </c>
      <c r="G107" s="3">
        <f>Batting!M112+Bowling!M112+Fielding!M112</f>
        <v>0</v>
      </c>
      <c r="H107" s="3">
        <f>Batting!O112+Bowling!O112+Fielding!O112</f>
        <v>0</v>
      </c>
      <c r="I107" s="3">
        <f t="shared" si="1"/>
        <v>29</v>
      </c>
    </row>
    <row r="108" spans="2:9" hidden="1" outlineLevel="1">
      <c r="C108" s="3" t="str">
        <f>PlayerPool!B100</f>
        <v>Kyle Mills</v>
      </c>
      <c r="D108" s="3">
        <f>Batting!G113+Bowling!G113+Fielding!G113</f>
        <v>27</v>
      </c>
      <c r="E108" s="3">
        <f>Batting!I113+Bowling!I113+Fielding!I113</f>
        <v>0</v>
      </c>
      <c r="F108" s="3">
        <f>Batting!K113+Bowling!K113+Fielding!K113</f>
        <v>0</v>
      </c>
      <c r="G108" s="3">
        <f>Batting!M113+Bowling!M113+Fielding!M113</f>
        <v>0</v>
      </c>
      <c r="H108" s="3">
        <f>Batting!O113+Bowling!O113+Fielding!O113</f>
        <v>0</v>
      </c>
      <c r="I108" s="3">
        <f t="shared" si="1"/>
        <v>27</v>
      </c>
    </row>
    <row r="109" spans="2:9" hidden="1" outlineLevel="1">
      <c r="C109" s="3" t="str">
        <f>PlayerPool!B101</f>
        <v>Jacob Oram</v>
      </c>
      <c r="D109" s="3">
        <f>Batting!G114+Bowling!G114+Fielding!G114</f>
        <v>62</v>
      </c>
      <c r="E109" s="3">
        <f>Batting!I114+Bowling!I114+Fielding!I114</f>
        <v>0</v>
      </c>
      <c r="F109" s="3">
        <f>Batting!K114+Bowling!K114+Fielding!K114</f>
        <v>0</v>
      </c>
      <c r="G109" s="3">
        <f>Batting!M114+Bowling!M114+Fielding!M114</f>
        <v>0</v>
      </c>
      <c r="H109" s="3">
        <f>Batting!O114+Bowling!O114+Fielding!O114</f>
        <v>0</v>
      </c>
      <c r="I109" s="3">
        <f t="shared" si="1"/>
        <v>62</v>
      </c>
    </row>
    <row r="110" spans="2:9" hidden="1" outlineLevel="1">
      <c r="C110" s="3" t="str">
        <f>PlayerPool!B102</f>
        <v>Jesse Ryder</v>
      </c>
      <c r="D110" s="3">
        <f>Batting!G115+Bowling!G115+Fielding!G115</f>
        <v>32</v>
      </c>
      <c r="E110" s="3">
        <f>Batting!I115+Bowling!I115+Fielding!I115</f>
        <v>0</v>
      </c>
      <c r="F110" s="3">
        <f>Batting!K115+Bowling!K115+Fielding!K115</f>
        <v>0</v>
      </c>
      <c r="G110" s="3">
        <f>Batting!M115+Bowling!M115+Fielding!M115</f>
        <v>0</v>
      </c>
      <c r="H110" s="3">
        <f>Batting!O115+Bowling!O115+Fielding!O115</f>
        <v>0</v>
      </c>
      <c r="I110" s="3">
        <f t="shared" si="1"/>
        <v>32</v>
      </c>
    </row>
    <row r="111" spans="2:9" hidden="1" outlineLevel="1">
      <c r="C111" s="3" t="str">
        <f>PlayerPool!B103</f>
        <v>Tim Southee</v>
      </c>
      <c r="D111" s="3">
        <f>Batting!G116+Bowling!G116+Fielding!G116</f>
        <v>50</v>
      </c>
      <c r="E111" s="3">
        <f>Batting!I116+Bowling!I116+Fielding!I116</f>
        <v>0</v>
      </c>
      <c r="F111" s="3">
        <f>Batting!K116+Bowling!K116+Fielding!K116</f>
        <v>0</v>
      </c>
      <c r="G111" s="3">
        <f>Batting!M116+Bowling!M116+Fielding!M116</f>
        <v>0</v>
      </c>
      <c r="H111" s="3">
        <f>Batting!O116+Bowling!O116+Fielding!O116</f>
        <v>0</v>
      </c>
      <c r="I111" s="3">
        <f t="shared" si="1"/>
        <v>50</v>
      </c>
    </row>
    <row r="112" spans="2:9" hidden="1" outlineLevel="1">
      <c r="C112" s="3" t="str">
        <f>PlayerPool!B104</f>
        <v>Scott Styris</v>
      </c>
      <c r="D112" s="3">
        <f>Batting!G117+Bowling!G117+Fielding!G117</f>
        <v>20</v>
      </c>
      <c r="E112" s="3">
        <f>Batting!I117+Bowling!I117+Fielding!I117</f>
        <v>0</v>
      </c>
      <c r="F112" s="3">
        <f>Batting!K117+Bowling!K117+Fielding!K117</f>
        <v>0</v>
      </c>
      <c r="G112" s="3">
        <f>Batting!M117+Bowling!M117+Fielding!M117</f>
        <v>0</v>
      </c>
      <c r="H112" s="3">
        <f>Batting!O117+Bowling!O117+Fielding!O117</f>
        <v>0</v>
      </c>
      <c r="I112" s="3">
        <f t="shared" si="1"/>
        <v>20</v>
      </c>
    </row>
    <row r="113" spans="2:9" hidden="1" outlineLevel="1">
      <c r="C113" s="3" t="str">
        <f>PlayerPool!B105</f>
        <v>Ross Taylor</v>
      </c>
      <c r="D113" s="3">
        <f>Batting!G118+Bowling!G118+Fielding!G118</f>
        <v>15</v>
      </c>
      <c r="E113" s="3">
        <f>Batting!I118+Bowling!I118+Fielding!I118</f>
        <v>0</v>
      </c>
      <c r="F113" s="3">
        <f>Batting!K118+Bowling!K118+Fielding!K118</f>
        <v>0</v>
      </c>
      <c r="G113" s="3">
        <f>Batting!M118+Bowling!M118+Fielding!M118</f>
        <v>0</v>
      </c>
      <c r="H113" s="3">
        <f>Batting!O118+Bowling!O118+Fielding!O118</f>
        <v>0</v>
      </c>
      <c r="I113" s="3">
        <f t="shared" si="1"/>
        <v>15</v>
      </c>
    </row>
    <row r="114" spans="2:9" hidden="1" outlineLevel="1">
      <c r="C114" s="3" t="str">
        <f>PlayerPool!B106</f>
        <v>Kane Williamson</v>
      </c>
      <c r="D114" s="3">
        <f>Batting!G119+Bowling!G119+Fielding!G119</f>
        <v>0</v>
      </c>
      <c r="E114" s="3">
        <f>Batting!I119+Bowling!I119+Fielding!I119</f>
        <v>0</v>
      </c>
      <c r="F114" s="3">
        <f>Batting!K119+Bowling!K119+Fielding!K119</f>
        <v>0</v>
      </c>
      <c r="G114" s="3">
        <f>Batting!M119+Bowling!M119+Fielding!M119</f>
        <v>0</v>
      </c>
      <c r="H114" s="3">
        <f>Batting!O119+Bowling!O119+Fielding!O119</f>
        <v>0</v>
      </c>
      <c r="I114" s="3">
        <f t="shared" si="1"/>
        <v>0</v>
      </c>
    </row>
    <row r="115" spans="2:9" hidden="1" outlineLevel="1">
      <c r="C115" s="3" t="str">
        <f>PlayerPool!B107</f>
        <v>Luke Woodcock</v>
      </c>
      <c r="D115" s="3">
        <f>Batting!G120+Bowling!G120+Fielding!G120</f>
        <v>9</v>
      </c>
      <c r="E115" s="3">
        <f>Batting!I120+Bowling!I120+Fielding!I120</f>
        <v>0</v>
      </c>
      <c r="F115" s="3">
        <f>Batting!K120+Bowling!K120+Fielding!K120</f>
        <v>0</v>
      </c>
      <c r="G115" s="3">
        <f>Batting!M120+Bowling!M120+Fielding!M120</f>
        <v>0</v>
      </c>
      <c r="H115" s="3">
        <f>Batting!O120+Bowling!O120+Fielding!O120</f>
        <v>0</v>
      </c>
      <c r="I115" s="3">
        <f t="shared" si="1"/>
        <v>9</v>
      </c>
    </row>
    <row r="116" spans="2:9" collapsed="1">
      <c r="B116" s="5" t="s">
        <v>102</v>
      </c>
      <c r="D116" s="3"/>
      <c r="E116" s="3"/>
      <c r="F116" s="3"/>
      <c r="G116" s="3"/>
      <c r="H116" s="3"/>
      <c r="I116" s="3"/>
    </row>
    <row r="117" spans="2:9" hidden="1" outlineLevel="1">
      <c r="C117" s="3" t="str">
        <f>PlayerPool!B108</f>
        <v>Darren Sammy</v>
      </c>
      <c r="D117" s="3">
        <f>Batting!G122+Bowling!G122+Fielding!G122</f>
        <v>0</v>
      </c>
      <c r="E117" s="3">
        <f>Batting!I122+Bowling!I122+Fielding!I122</f>
        <v>0</v>
      </c>
      <c r="F117" s="3">
        <f>Batting!K122+Bowling!K122+Fielding!K122</f>
        <v>0</v>
      </c>
      <c r="G117" s="3">
        <f>Batting!M122+Bowling!M122+Fielding!M122</f>
        <v>0</v>
      </c>
      <c r="H117" s="3">
        <f>Batting!O122+Bowling!O122+Fielding!O122</f>
        <v>0</v>
      </c>
      <c r="I117" s="3">
        <f t="shared" si="1"/>
        <v>0</v>
      </c>
    </row>
    <row r="118" spans="2:9" hidden="1" outlineLevel="1">
      <c r="C118" s="3" t="str">
        <f>PlayerPool!B109</f>
        <v>Adrian Barath</v>
      </c>
      <c r="D118" s="3">
        <f>Batting!G123+Bowling!G123+Fielding!G123</f>
        <v>0</v>
      </c>
      <c r="E118" s="3">
        <f>Batting!I123+Bowling!I123+Fielding!I123</f>
        <v>0</v>
      </c>
      <c r="F118" s="3">
        <f>Batting!K123+Bowling!K123+Fielding!K123</f>
        <v>0</v>
      </c>
      <c r="G118" s="3">
        <f>Batting!M123+Bowling!M123+Fielding!M123</f>
        <v>0</v>
      </c>
      <c r="H118" s="3">
        <f>Batting!O123+Bowling!O123+Fielding!O123</f>
        <v>0</v>
      </c>
      <c r="I118" s="3">
        <f t="shared" si="1"/>
        <v>0</v>
      </c>
    </row>
    <row r="119" spans="2:9" hidden="1" outlineLevel="1">
      <c r="C119" s="3" t="str">
        <f>PlayerPool!B110</f>
        <v>Carlton Baugh</v>
      </c>
      <c r="D119" s="3">
        <f>Batting!G124+Bowling!G124+Fielding!G124</f>
        <v>0</v>
      </c>
      <c r="E119" s="3">
        <f>Batting!I124+Bowling!I124+Fielding!I124</f>
        <v>0</v>
      </c>
      <c r="F119" s="3">
        <f>Batting!K124+Bowling!K124+Fielding!K124</f>
        <v>0</v>
      </c>
      <c r="G119" s="3">
        <f>Batting!M124+Bowling!M124+Fielding!M124</f>
        <v>0</v>
      </c>
      <c r="H119" s="3">
        <f>Batting!O124+Bowling!O124+Fielding!O124</f>
        <v>0</v>
      </c>
      <c r="I119" s="3">
        <f t="shared" si="1"/>
        <v>0</v>
      </c>
    </row>
    <row r="120" spans="2:9" hidden="1" outlineLevel="1">
      <c r="C120" s="3" t="str">
        <f>PlayerPool!B111</f>
        <v>Sulieman Benn</v>
      </c>
      <c r="D120" s="3">
        <f>Batting!G125+Bowling!G125+Fielding!G125</f>
        <v>0</v>
      </c>
      <c r="E120" s="3">
        <f>Batting!I125+Bowling!I125+Fielding!I125</f>
        <v>0</v>
      </c>
      <c r="F120" s="3">
        <f>Batting!K125+Bowling!K125+Fielding!K125</f>
        <v>0</v>
      </c>
      <c r="G120" s="3">
        <f>Batting!M125+Bowling!M125+Fielding!M125</f>
        <v>0</v>
      </c>
      <c r="H120" s="3">
        <f>Batting!O125+Bowling!O125+Fielding!O125</f>
        <v>0</v>
      </c>
      <c r="I120" s="3">
        <f t="shared" si="1"/>
        <v>0</v>
      </c>
    </row>
    <row r="121" spans="2:9" hidden="1" outlineLevel="1">
      <c r="C121" s="3" t="str">
        <f>PlayerPool!B112</f>
        <v>Dwayne Bravo</v>
      </c>
      <c r="D121" s="3">
        <f>Batting!G126+Bowling!G126+Fielding!G126</f>
        <v>0</v>
      </c>
      <c r="E121" s="3">
        <f>Batting!I126+Bowling!I126+Fielding!I126</f>
        <v>0</v>
      </c>
      <c r="F121" s="3">
        <f>Batting!K126+Bowling!K126+Fielding!K126</f>
        <v>0</v>
      </c>
      <c r="G121" s="3">
        <f>Batting!M126+Bowling!M126+Fielding!M126</f>
        <v>0</v>
      </c>
      <c r="H121" s="3">
        <f>Batting!O126+Bowling!O126+Fielding!O126</f>
        <v>0</v>
      </c>
      <c r="I121" s="3">
        <f t="shared" si="1"/>
        <v>0</v>
      </c>
    </row>
    <row r="122" spans="2:9" hidden="1" outlineLevel="1">
      <c r="C122" s="3" t="str">
        <f>PlayerPool!B113</f>
        <v>Darren Bravo</v>
      </c>
      <c r="D122" s="3">
        <f>Batting!G127+Bowling!G127+Fielding!G127</f>
        <v>0</v>
      </c>
      <c r="E122" s="3">
        <f>Batting!I127+Bowling!I127+Fielding!I127</f>
        <v>0</v>
      </c>
      <c r="F122" s="3">
        <f>Batting!K127+Bowling!K127+Fielding!K127</f>
        <v>0</v>
      </c>
      <c r="G122" s="3">
        <f>Batting!M127+Bowling!M127+Fielding!M127</f>
        <v>0</v>
      </c>
      <c r="H122" s="3">
        <f>Batting!O127+Bowling!O127+Fielding!O127</f>
        <v>0</v>
      </c>
      <c r="I122" s="3">
        <f t="shared" si="1"/>
        <v>0</v>
      </c>
    </row>
    <row r="123" spans="2:9" hidden="1" outlineLevel="1">
      <c r="C123" s="3" t="str">
        <f>PlayerPool!B114</f>
        <v>Shivnarine Chanderpaul</v>
      </c>
      <c r="D123" s="3">
        <f>Batting!G128+Bowling!G128+Fielding!G128</f>
        <v>0</v>
      </c>
      <c r="E123" s="3">
        <f>Batting!I128+Bowling!I128+Fielding!I128</f>
        <v>0</v>
      </c>
      <c r="F123" s="3">
        <f>Batting!K128+Bowling!K128+Fielding!K128</f>
        <v>0</v>
      </c>
      <c r="G123" s="3">
        <f>Batting!M128+Bowling!M128+Fielding!M128</f>
        <v>0</v>
      </c>
      <c r="H123" s="3">
        <f>Batting!O128+Bowling!O128+Fielding!O128</f>
        <v>0</v>
      </c>
      <c r="I123" s="3">
        <f t="shared" si="1"/>
        <v>0</v>
      </c>
    </row>
    <row r="124" spans="2:9" hidden="1" outlineLevel="1">
      <c r="C124" s="3" t="str">
        <f>PlayerPool!B115</f>
        <v>Chris Gayle</v>
      </c>
      <c r="D124" s="3">
        <f>Batting!G129+Bowling!G129+Fielding!G129</f>
        <v>0</v>
      </c>
      <c r="E124" s="3">
        <f>Batting!I129+Bowling!I129+Fielding!I129</f>
        <v>0</v>
      </c>
      <c r="F124" s="3">
        <f>Batting!K129+Bowling!K129+Fielding!K129</f>
        <v>0</v>
      </c>
      <c r="G124" s="3">
        <f>Batting!M129+Bowling!M129+Fielding!M129</f>
        <v>0</v>
      </c>
      <c r="H124" s="3">
        <f>Batting!O129+Bowling!O129+Fielding!O129</f>
        <v>0</v>
      </c>
      <c r="I124" s="3">
        <f t="shared" si="1"/>
        <v>0</v>
      </c>
    </row>
    <row r="125" spans="2:9" hidden="1" outlineLevel="1">
      <c r="C125" s="3" t="str">
        <f>PlayerPool!B116</f>
        <v>Nikita Miller</v>
      </c>
      <c r="D125" s="3">
        <f>Batting!G130+Bowling!G130+Fielding!G130</f>
        <v>0</v>
      </c>
      <c r="E125" s="3">
        <f>Batting!I130+Bowling!I130+Fielding!I130</f>
        <v>0</v>
      </c>
      <c r="F125" s="3">
        <f>Batting!K130+Bowling!K130+Fielding!K130</f>
        <v>0</v>
      </c>
      <c r="G125" s="3">
        <f>Batting!M130+Bowling!M130+Fielding!M130</f>
        <v>0</v>
      </c>
      <c r="H125" s="3">
        <f>Batting!O130+Bowling!O130+Fielding!O130</f>
        <v>0</v>
      </c>
      <c r="I125" s="3">
        <f t="shared" si="1"/>
        <v>0</v>
      </c>
    </row>
    <row r="126" spans="2:9" hidden="1" outlineLevel="1">
      <c r="C126" s="3" t="str">
        <f>PlayerPool!B117</f>
        <v>Kieron Pollard</v>
      </c>
      <c r="D126" s="3">
        <f>Batting!G131+Bowling!G131+Fielding!G131</f>
        <v>0</v>
      </c>
      <c r="E126" s="3">
        <f>Batting!I131+Bowling!I131+Fielding!I131</f>
        <v>0</v>
      </c>
      <c r="F126" s="3">
        <f>Batting!K131+Bowling!K131+Fielding!K131</f>
        <v>0</v>
      </c>
      <c r="G126" s="3">
        <f>Batting!M131+Bowling!M131+Fielding!M131</f>
        <v>0</v>
      </c>
      <c r="H126" s="3">
        <f>Batting!O131+Bowling!O131+Fielding!O131</f>
        <v>0</v>
      </c>
      <c r="I126" s="3">
        <f t="shared" si="1"/>
        <v>0</v>
      </c>
    </row>
    <row r="127" spans="2:9" hidden="1" outlineLevel="1">
      <c r="C127" s="3" t="str">
        <f>PlayerPool!B118</f>
        <v>Ravi Rampaul</v>
      </c>
      <c r="D127" s="3">
        <f>Batting!G132+Bowling!G132+Fielding!G132</f>
        <v>0</v>
      </c>
      <c r="E127" s="3">
        <f>Batting!I132+Bowling!I132+Fielding!I132</f>
        <v>0</v>
      </c>
      <c r="F127" s="3">
        <f>Batting!K132+Bowling!K132+Fielding!K132</f>
        <v>0</v>
      </c>
      <c r="G127" s="3">
        <f>Batting!M132+Bowling!M132+Fielding!M132</f>
        <v>0</v>
      </c>
      <c r="H127" s="3">
        <f>Batting!O132+Bowling!O132+Fielding!O132</f>
        <v>0</v>
      </c>
      <c r="I127" s="3">
        <f t="shared" si="1"/>
        <v>0</v>
      </c>
    </row>
    <row r="128" spans="2:9" hidden="1" outlineLevel="1">
      <c r="C128" s="3" t="str">
        <f>PlayerPool!B119</f>
        <v>Kemar Roach</v>
      </c>
      <c r="D128" s="3">
        <f>Batting!G133+Bowling!G133+Fielding!G133</f>
        <v>0</v>
      </c>
      <c r="E128" s="3">
        <f>Batting!I133+Bowling!I133+Fielding!I133</f>
        <v>0</v>
      </c>
      <c r="F128" s="3">
        <f>Batting!K133+Bowling!K133+Fielding!K133</f>
        <v>0</v>
      </c>
      <c r="G128" s="3">
        <f>Batting!M133+Bowling!M133+Fielding!M133</f>
        <v>0</v>
      </c>
      <c r="H128" s="3">
        <f>Batting!O133+Bowling!O133+Fielding!O133</f>
        <v>0</v>
      </c>
      <c r="I128" s="3">
        <f t="shared" si="1"/>
        <v>0</v>
      </c>
    </row>
    <row r="129" spans="2:9" hidden="1" outlineLevel="1">
      <c r="C129" s="3" t="str">
        <f>PlayerPool!B120</f>
        <v>Andre Russell</v>
      </c>
      <c r="D129" s="3">
        <f>Batting!G134+Bowling!G134+Fielding!G134</f>
        <v>0</v>
      </c>
      <c r="E129" s="3">
        <f>Batting!I134+Bowling!I134+Fielding!I134</f>
        <v>0</v>
      </c>
      <c r="F129" s="3">
        <f>Batting!K134+Bowling!K134+Fielding!K134</f>
        <v>0</v>
      </c>
      <c r="G129" s="3">
        <f>Batting!M134+Bowling!M134+Fielding!M134</f>
        <v>0</v>
      </c>
      <c r="H129" s="3">
        <f>Batting!O134+Bowling!O134+Fielding!O134</f>
        <v>0</v>
      </c>
      <c r="I129" s="3">
        <f t="shared" si="1"/>
        <v>0</v>
      </c>
    </row>
    <row r="130" spans="2:9" hidden="1" outlineLevel="1">
      <c r="C130" s="3" t="str">
        <f>PlayerPool!B121</f>
        <v>Ramnaresh Sarwan</v>
      </c>
      <c r="D130" s="3">
        <f>Batting!G135+Bowling!G135+Fielding!G135</f>
        <v>0</v>
      </c>
      <c r="E130" s="3">
        <f>Batting!I135+Bowling!I135+Fielding!I135</f>
        <v>0</v>
      </c>
      <c r="F130" s="3">
        <f>Batting!K135+Bowling!K135+Fielding!K135</f>
        <v>0</v>
      </c>
      <c r="G130" s="3">
        <f>Batting!M135+Bowling!M135+Fielding!M135</f>
        <v>0</v>
      </c>
      <c r="H130" s="3">
        <f>Batting!O135+Bowling!O135+Fielding!O135</f>
        <v>0</v>
      </c>
      <c r="I130" s="3">
        <f t="shared" si="1"/>
        <v>0</v>
      </c>
    </row>
    <row r="131" spans="2:9" hidden="1" outlineLevel="1">
      <c r="C131" s="3" t="str">
        <f>PlayerPool!B122</f>
        <v>Devon Smith</v>
      </c>
      <c r="D131" s="3">
        <f>Batting!G136+Bowling!G136+Fielding!G136</f>
        <v>0</v>
      </c>
      <c r="E131" s="3">
        <f>Batting!I136+Bowling!I136+Fielding!I136</f>
        <v>0</v>
      </c>
      <c r="F131" s="3">
        <f>Batting!K136+Bowling!K136+Fielding!K136</f>
        <v>0</v>
      </c>
      <c r="G131" s="3">
        <f>Batting!M136+Bowling!M136+Fielding!M136</f>
        <v>0</v>
      </c>
      <c r="H131" s="3">
        <f>Batting!O136+Bowling!O136+Fielding!O136</f>
        <v>0</v>
      </c>
      <c r="I131" s="3">
        <f t="shared" si="1"/>
        <v>0</v>
      </c>
    </row>
    <row r="132" spans="2:9" collapsed="1">
      <c r="B132" s="5" t="s">
        <v>101</v>
      </c>
      <c r="D132" s="3"/>
      <c r="E132" s="3"/>
      <c r="F132" s="3"/>
      <c r="G132" s="3"/>
      <c r="H132" s="3"/>
      <c r="I132" s="3"/>
    </row>
    <row r="133" spans="2:9" hidden="1" outlineLevel="1">
      <c r="C133" s="3" t="str">
        <f>PlayerPool!B123</f>
        <v>Shakib Al Hasan</v>
      </c>
      <c r="D133" s="3">
        <f>Batting!G138+Bowling!G138+Fielding!G138</f>
        <v>2</v>
      </c>
      <c r="E133" s="3">
        <f>Batting!I138+Bowling!I138+Fielding!I138</f>
        <v>0</v>
      </c>
      <c r="F133" s="3">
        <f>Batting!K138+Bowling!K138+Fielding!K138</f>
        <v>0</v>
      </c>
      <c r="G133" s="3">
        <f>Batting!M138+Bowling!M138+Fielding!M138</f>
        <v>0</v>
      </c>
      <c r="H133" s="3">
        <f>Batting!O138+Bowling!O138+Fielding!O138</f>
        <v>0</v>
      </c>
      <c r="I133" s="3">
        <f t="shared" si="1"/>
        <v>2</v>
      </c>
    </row>
    <row r="134" spans="2:9" hidden="1" outlineLevel="1">
      <c r="C134" s="3" t="str">
        <f>PlayerPool!B124</f>
        <v>Tamim Iqbal</v>
      </c>
      <c r="D134" s="3">
        <f>Batting!G139+Bowling!G139+Fielding!G139</f>
        <v>72</v>
      </c>
      <c r="E134" s="3">
        <f>Batting!I139+Bowling!I139+Fielding!I139</f>
        <v>0</v>
      </c>
      <c r="F134" s="3">
        <f>Batting!K139+Bowling!K139+Fielding!K139</f>
        <v>0</v>
      </c>
      <c r="G134" s="3">
        <f>Batting!M139+Bowling!M139+Fielding!M139</f>
        <v>0</v>
      </c>
      <c r="H134" s="3">
        <f>Batting!O139+Bowling!O139+Fielding!O139</f>
        <v>0</v>
      </c>
      <c r="I134" s="3">
        <f t="shared" ref="I134:I147" si="2">SUM(D134:H134)</f>
        <v>72</v>
      </c>
    </row>
    <row r="135" spans="2:9" hidden="1" outlineLevel="1">
      <c r="C135" s="3" t="str">
        <f>PlayerPool!B125</f>
        <v>Abdur Razzak</v>
      </c>
      <c r="D135" s="3">
        <f>Batting!G140+Bowling!G140+Fielding!G140</f>
        <v>125</v>
      </c>
      <c r="E135" s="3">
        <f>Batting!I140+Bowling!I140+Fielding!I140</f>
        <v>0</v>
      </c>
      <c r="F135" s="3">
        <f>Batting!K140+Bowling!K140+Fielding!K140</f>
        <v>0</v>
      </c>
      <c r="G135" s="3">
        <f>Batting!M140+Bowling!M140+Fielding!M140</f>
        <v>0</v>
      </c>
      <c r="H135" s="3">
        <f>Batting!O140+Bowling!O140+Fielding!O140</f>
        <v>0</v>
      </c>
      <c r="I135" s="3">
        <f t="shared" si="2"/>
        <v>125</v>
      </c>
    </row>
    <row r="136" spans="2:9" hidden="1" outlineLevel="1">
      <c r="C136" s="3" t="str">
        <f>PlayerPool!B126</f>
        <v>Imrul Kayes</v>
      </c>
      <c r="D136" s="3">
        <f>Batting!G141+Bowling!G141+Fielding!G141</f>
        <v>110</v>
      </c>
      <c r="E136" s="3">
        <f>Batting!I141+Bowling!I141+Fielding!I141</f>
        <v>0</v>
      </c>
      <c r="F136" s="3">
        <f>Batting!K141+Bowling!K141+Fielding!K141</f>
        <v>0</v>
      </c>
      <c r="G136" s="3">
        <f>Batting!M141+Bowling!M141+Fielding!M141</f>
        <v>0</v>
      </c>
      <c r="H136" s="3">
        <f>Batting!O141+Bowling!O141+Fielding!O141</f>
        <v>0</v>
      </c>
      <c r="I136" s="3">
        <f t="shared" si="2"/>
        <v>110</v>
      </c>
    </row>
    <row r="137" spans="2:9" hidden="1" outlineLevel="1">
      <c r="C137" s="3" t="str">
        <f>PlayerPool!B127</f>
        <v>Junaid Siddique</v>
      </c>
      <c r="D137" s="3">
        <f>Batting!G142+Bowling!G142+Fielding!G142</f>
        <v>65</v>
      </c>
      <c r="E137" s="3">
        <f>Batting!I142+Bowling!I142+Fielding!I142</f>
        <v>0</v>
      </c>
      <c r="F137" s="3">
        <f>Batting!K142+Bowling!K142+Fielding!K142</f>
        <v>0</v>
      </c>
      <c r="G137" s="3">
        <f>Batting!M142+Bowling!M142+Fielding!M142</f>
        <v>0</v>
      </c>
      <c r="H137" s="3">
        <f>Batting!O142+Bowling!O142+Fielding!O142</f>
        <v>0</v>
      </c>
      <c r="I137" s="3">
        <f t="shared" si="2"/>
        <v>65</v>
      </c>
    </row>
    <row r="138" spans="2:9" hidden="1" outlineLevel="1">
      <c r="C138" s="3" t="str">
        <f>PlayerPool!B128</f>
        <v>Mahmudullah</v>
      </c>
      <c r="D138" s="3">
        <f>Batting!G143+Bowling!G143+Fielding!G143</f>
        <v>5</v>
      </c>
      <c r="E138" s="3">
        <f>Batting!I143+Bowling!I143+Fielding!I143</f>
        <v>0</v>
      </c>
      <c r="F138" s="3">
        <f>Batting!K143+Bowling!K143+Fielding!K143</f>
        <v>0</v>
      </c>
      <c r="G138" s="3">
        <f>Batting!M143+Bowling!M143+Fielding!M143</f>
        <v>0</v>
      </c>
      <c r="H138" s="3">
        <f>Batting!O143+Bowling!O143+Fielding!O143</f>
        <v>0</v>
      </c>
      <c r="I138" s="3">
        <f t="shared" si="2"/>
        <v>5</v>
      </c>
    </row>
    <row r="139" spans="2:9" hidden="1" outlineLevel="1">
      <c r="C139" s="3" t="str">
        <f>PlayerPool!B129</f>
        <v>Mohammad Ashraful</v>
      </c>
      <c r="D139" s="3">
        <f>Batting!G144+Bowling!G144+Fielding!G144</f>
        <v>2</v>
      </c>
      <c r="E139" s="3">
        <f>Batting!I144+Bowling!I144+Fielding!I144</f>
        <v>0</v>
      </c>
      <c r="F139" s="3">
        <f>Batting!K144+Bowling!K144+Fielding!K144</f>
        <v>0</v>
      </c>
      <c r="G139" s="3">
        <f>Batting!M144+Bowling!M144+Fielding!M144</f>
        <v>0</v>
      </c>
      <c r="H139" s="3">
        <f>Batting!O144+Bowling!O144+Fielding!O144</f>
        <v>0</v>
      </c>
      <c r="I139" s="3">
        <f t="shared" si="2"/>
        <v>2</v>
      </c>
    </row>
    <row r="140" spans="2:9" hidden="1" outlineLevel="1">
      <c r="C140" s="3" t="str">
        <f>PlayerPool!B130</f>
        <v>Mushfique Rahim</v>
      </c>
      <c r="D140" s="3">
        <f>Batting!G145+Bowling!G145+Fielding!G145</f>
        <v>2</v>
      </c>
      <c r="E140" s="3">
        <f>Batting!I145+Bowling!I145+Fielding!I145</f>
        <v>0</v>
      </c>
      <c r="F140" s="3">
        <f>Batting!K145+Bowling!K145+Fielding!K145</f>
        <v>0</v>
      </c>
      <c r="G140" s="3">
        <f>Batting!M145+Bowling!M145+Fielding!M145</f>
        <v>0</v>
      </c>
      <c r="H140" s="3">
        <f>Batting!O145+Bowling!O145+Fielding!O145</f>
        <v>0</v>
      </c>
      <c r="I140" s="3">
        <f t="shared" si="2"/>
        <v>2</v>
      </c>
    </row>
    <row r="141" spans="2:9" hidden="1" outlineLevel="1">
      <c r="C141" s="3" t="str">
        <f>PlayerPool!B131</f>
        <v>Naeem Islam</v>
      </c>
      <c r="D141" s="3">
        <f>Batting!G146+Bowling!G146+Fielding!G146</f>
        <v>8</v>
      </c>
      <c r="E141" s="3">
        <f>Batting!I146+Bowling!I146+Fielding!I146</f>
        <v>0</v>
      </c>
      <c r="F141" s="3">
        <f>Batting!K146+Bowling!K146+Fielding!K146</f>
        <v>0</v>
      </c>
      <c r="G141" s="3">
        <f>Batting!M146+Bowling!M146+Fielding!M146</f>
        <v>0</v>
      </c>
      <c r="H141" s="3">
        <f>Batting!O146+Bowling!O146+Fielding!O146</f>
        <v>0</v>
      </c>
      <c r="I141" s="3">
        <f t="shared" si="2"/>
        <v>8</v>
      </c>
    </row>
    <row r="142" spans="2:9" hidden="1" outlineLevel="1">
      <c r="C142" s="3" t="str">
        <f>PlayerPool!B132</f>
        <v>Nazmul Hossain</v>
      </c>
      <c r="D142" s="3">
        <f>Batting!G147+Bowling!G147+Fielding!G147</f>
        <v>1</v>
      </c>
      <c r="E142" s="3">
        <f>Batting!I147+Bowling!I147+Fielding!I147</f>
        <v>0</v>
      </c>
      <c r="F142" s="3">
        <f>Batting!K147+Bowling!K147+Fielding!K147</f>
        <v>0</v>
      </c>
      <c r="G142" s="3">
        <f>Batting!M147+Bowling!M147+Fielding!M147</f>
        <v>0</v>
      </c>
      <c r="H142" s="3">
        <f>Batting!O147+Bowling!O147+Fielding!O147</f>
        <v>0</v>
      </c>
      <c r="I142" s="3">
        <f t="shared" si="2"/>
        <v>1</v>
      </c>
    </row>
    <row r="143" spans="2:9" hidden="1" outlineLevel="1">
      <c r="C143" s="3" t="str">
        <f>PlayerPool!B133</f>
        <v>Raqibul Hasan</v>
      </c>
      <c r="D143" s="3">
        <f>Batting!G148+Bowling!G148+Fielding!G148</f>
        <v>3</v>
      </c>
      <c r="E143" s="3">
        <f>Batting!I148+Bowling!I148+Fielding!I148</f>
        <v>0</v>
      </c>
      <c r="F143" s="3">
        <f>Batting!K148+Bowling!K148+Fielding!K148</f>
        <v>0</v>
      </c>
      <c r="G143" s="3">
        <f>Batting!M148+Bowling!M148+Fielding!M148</f>
        <v>0</v>
      </c>
      <c r="H143" s="3">
        <f>Batting!O148+Bowling!O148+Fielding!O148</f>
        <v>0</v>
      </c>
      <c r="I143" s="3">
        <f t="shared" si="2"/>
        <v>3</v>
      </c>
    </row>
    <row r="144" spans="2:9" hidden="1" outlineLevel="1">
      <c r="C144" s="3" t="str">
        <f>PlayerPool!B134</f>
        <v>Rubel Hossain</v>
      </c>
      <c r="D144" s="3">
        <f>Batting!G149+Bowling!G149+Fielding!G149</f>
        <v>0</v>
      </c>
      <c r="E144" s="3">
        <f>Batting!I149+Bowling!I149+Fielding!I149</f>
        <v>0</v>
      </c>
      <c r="F144" s="3">
        <f>Batting!K149+Bowling!K149+Fielding!K149</f>
        <v>0</v>
      </c>
      <c r="G144" s="3">
        <f>Batting!M149+Bowling!M149+Fielding!M149</f>
        <v>0</v>
      </c>
      <c r="H144" s="3">
        <f>Batting!O149+Bowling!O149+Fielding!O149</f>
        <v>0</v>
      </c>
      <c r="I144" s="3">
        <f t="shared" si="2"/>
        <v>0</v>
      </c>
    </row>
    <row r="145" spans="3:9" hidden="1" outlineLevel="1">
      <c r="C145" s="3" t="str">
        <f>PlayerPool!B135</f>
        <v>Shafiul Islam</v>
      </c>
      <c r="D145" s="3">
        <f>Batting!G150+Bowling!G150+Fielding!G150</f>
        <v>0</v>
      </c>
      <c r="E145" s="3">
        <f>Batting!I150+Bowling!I150+Fielding!I150</f>
        <v>0</v>
      </c>
      <c r="F145" s="3">
        <f>Batting!K150+Bowling!K150+Fielding!K150</f>
        <v>0</v>
      </c>
      <c r="G145" s="3">
        <f>Batting!M150+Bowling!M150+Fielding!M150</f>
        <v>0</v>
      </c>
      <c r="H145" s="3">
        <f>Batting!O150+Bowling!O150+Fielding!O150</f>
        <v>0</v>
      </c>
      <c r="I145" s="3">
        <f t="shared" si="2"/>
        <v>0</v>
      </c>
    </row>
    <row r="146" spans="3:9" hidden="1" outlineLevel="1">
      <c r="C146" s="3" t="str">
        <f>PlayerPool!B136</f>
        <v>Shahriar Nafees</v>
      </c>
      <c r="D146" s="3">
        <f>Batting!G151+Bowling!G151+Fielding!G151</f>
        <v>0</v>
      </c>
      <c r="E146" s="3">
        <f>Batting!I151+Bowling!I151+Fielding!I151</f>
        <v>0</v>
      </c>
      <c r="F146" s="3">
        <f>Batting!K151+Bowling!K151+Fielding!K151</f>
        <v>0</v>
      </c>
      <c r="G146" s="3">
        <f>Batting!M151+Bowling!M151+Fielding!M151</f>
        <v>0</v>
      </c>
      <c r="H146" s="3">
        <f>Batting!O151+Bowling!O151+Fielding!O151</f>
        <v>0</v>
      </c>
      <c r="I146" s="3">
        <f t="shared" si="2"/>
        <v>0</v>
      </c>
    </row>
    <row r="147" spans="3:9" hidden="1" outlineLevel="1">
      <c r="C147" s="3" t="str">
        <f>PlayerPool!B137</f>
        <v>Suhrawadi Shuvo</v>
      </c>
      <c r="D147" s="3">
        <f>Batting!G152+Bowling!G152+Fielding!G152</f>
        <v>0</v>
      </c>
      <c r="E147" s="3">
        <f>Batting!I152+Bowling!I152+Fielding!I152</f>
        <v>0</v>
      </c>
      <c r="F147" s="3">
        <f>Batting!K152+Bowling!K152+Fielding!K152</f>
        <v>0</v>
      </c>
      <c r="G147" s="3">
        <f>Batting!M152+Bowling!M152+Fielding!M152</f>
        <v>0</v>
      </c>
      <c r="H147" s="3">
        <f>Batting!O152+Bowling!O152+Fielding!O152</f>
        <v>0</v>
      </c>
      <c r="I147" s="3">
        <f t="shared" si="2"/>
        <v>0</v>
      </c>
    </row>
    <row r="148" spans="3:9" collapsed="1"/>
  </sheetData>
  <mergeCells count="1">
    <mergeCell ref="D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B2:E137"/>
  <sheetViews>
    <sheetView workbookViewId="0">
      <selection activeCell="M13" sqref="M13"/>
    </sheetView>
  </sheetViews>
  <sheetFormatPr defaultRowHeight="14.5"/>
  <cols>
    <col min="2" max="2" width="22.54296875" bestFit="1" customWidth="1"/>
  </cols>
  <sheetData>
    <row r="2" spans="2:5" ht="15" thickBot="1">
      <c r="B2" s="40" t="s">
        <v>4</v>
      </c>
      <c r="C2" s="40" t="s">
        <v>33</v>
      </c>
      <c r="D2" s="40" t="s">
        <v>43</v>
      </c>
    </row>
    <row r="3" spans="2:5">
      <c r="B3" s="42" t="s">
        <v>57</v>
      </c>
      <c r="C3" s="43">
        <v>15</v>
      </c>
      <c r="D3" s="44" t="s">
        <v>40</v>
      </c>
      <c r="E3" s="137" t="s">
        <v>44</v>
      </c>
    </row>
    <row r="4" spans="2:5">
      <c r="B4" s="11" t="s">
        <v>58</v>
      </c>
      <c r="C4" s="3">
        <v>16</v>
      </c>
      <c r="D4" s="12" t="s">
        <v>40</v>
      </c>
      <c r="E4" s="137"/>
    </row>
    <row r="5" spans="2:5">
      <c r="B5" s="11" t="s">
        <v>59</v>
      </c>
      <c r="C5" s="3">
        <v>10</v>
      </c>
      <c r="D5" s="12" t="s">
        <v>40</v>
      </c>
      <c r="E5" s="137"/>
    </row>
    <row r="6" spans="2:5">
      <c r="B6" s="11" t="s">
        <v>60</v>
      </c>
      <c r="C6" s="3">
        <v>8</v>
      </c>
      <c r="D6" s="12" t="s">
        <v>40</v>
      </c>
      <c r="E6" s="137"/>
    </row>
    <row r="7" spans="2:5">
      <c r="B7" s="11" t="s">
        <v>81</v>
      </c>
      <c r="C7" s="3">
        <v>9</v>
      </c>
      <c r="D7" s="12" t="s">
        <v>40</v>
      </c>
      <c r="E7" s="137"/>
    </row>
    <row r="8" spans="2:5">
      <c r="B8" s="11" t="s">
        <v>61</v>
      </c>
      <c r="C8" s="3">
        <v>7</v>
      </c>
      <c r="D8" s="12" t="s">
        <v>40</v>
      </c>
      <c r="E8" s="137"/>
    </row>
    <row r="9" spans="2:5">
      <c r="B9" s="11" t="s">
        <v>62</v>
      </c>
      <c r="C9" s="3">
        <v>17</v>
      </c>
      <c r="D9" s="12" t="s">
        <v>41</v>
      </c>
      <c r="E9" s="137"/>
    </row>
    <row r="10" spans="2:5">
      <c r="B10" s="11" t="s">
        <v>63</v>
      </c>
      <c r="C10" s="3">
        <v>15</v>
      </c>
      <c r="D10" s="12" t="s">
        <v>45</v>
      </c>
      <c r="E10" s="137"/>
    </row>
    <row r="11" spans="2:5">
      <c r="B11" s="11" t="s">
        <v>64</v>
      </c>
      <c r="C11" s="3">
        <v>5</v>
      </c>
      <c r="D11" s="12" t="s">
        <v>42</v>
      </c>
      <c r="E11" s="137"/>
    </row>
    <row r="12" spans="2:5">
      <c r="B12" s="11" t="s">
        <v>65</v>
      </c>
      <c r="C12" s="3">
        <v>8</v>
      </c>
      <c r="D12" s="12" t="s">
        <v>45</v>
      </c>
      <c r="E12" s="137"/>
    </row>
    <row r="13" spans="2:5">
      <c r="B13" s="11" t="s">
        <v>66</v>
      </c>
      <c r="C13" s="3">
        <v>6</v>
      </c>
      <c r="D13" s="12" t="s">
        <v>42</v>
      </c>
      <c r="E13" s="137"/>
    </row>
    <row r="14" spans="2:5">
      <c r="B14" s="11" t="s">
        <v>67</v>
      </c>
      <c r="C14" s="3">
        <v>14</v>
      </c>
      <c r="D14" s="12" t="s">
        <v>42</v>
      </c>
      <c r="E14" s="137"/>
    </row>
    <row r="15" spans="2:5">
      <c r="B15" s="11" t="s">
        <v>68</v>
      </c>
      <c r="C15" s="3">
        <v>10</v>
      </c>
      <c r="D15" s="12" t="s">
        <v>42</v>
      </c>
      <c r="E15" s="137"/>
    </row>
    <row r="16" spans="2:5">
      <c r="B16" s="11" t="s">
        <v>212</v>
      </c>
      <c r="C16" s="3">
        <v>6</v>
      </c>
      <c r="D16" s="12" t="s">
        <v>42</v>
      </c>
      <c r="E16" s="137"/>
    </row>
    <row r="17" spans="2:5" ht="15" thickBot="1">
      <c r="B17" s="13" t="s">
        <v>69</v>
      </c>
      <c r="C17" s="14">
        <v>8</v>
      </c>
      <c r="D17" s="15" t="s">
        <v>42</v>
      </c>
      <c r="E17" s="137"/>
    </row>
    <row r="18" spans="2:5">
      <c r="B18" s="42" t="s">
        <v>70</v>
      </c>
      <c r="C18" s="43">
        <v>12</v>
      </c>
      <c r="D18" s="44" t="s">
        <v>40</v>
      </c>
      <c r="E18" s="137" t="s">
        <v>56</v>
      </c>
    </row>
    <row r="19" spans="2:5">
      <c r="B19" s="11" t="s">
        <v>71</v>
      </c>
      <c r="C19" s="3">
        <v>11</v>
      </c>
      <c r="D19" s="12" t="s">
        <v>40</v>
      </c>
      <c r="E19" s="137"/>
    </row>
    <row r="20" spans="2:5">
      <c r="B20" s="11" t="s">
        <v>72</v>
      </c>
      <c r="C20" s="3">
        <v>18</v>
      </c>
      <c r="D20" s="12" t="s">
        <v>45</v>
      </c>
      <c r="E20" s="137"/>
    </row>
    <row r="21" spans="2:5">
      <c r="B21" s="11" t="s">
        <v>73</v>
      </c>
      <c r="C21" s="3">
        <v>15</v>
      </c>
      <c r="D21" s="12" t="s">
        <v>40</v>
      </c>
      <c r="E21" s="137"/>
    </row>
    <row r="22" spans="2:5">
      <c r="B22" s="11" t="s">
        <v>52</v>
      </c>
      <c r="C22" s="3">
        <v>6</v>
      </c>
      <c r="D22" s="12" t="s">
        <v>45</v>
      </c>
      <c r="E22" s="137"/>
    </row>
    <row r="23" spans="2:5">
      <c r="B23" s="11" t="s">
        <v>53</v>
      </c>
      <c r="C23" s="3">
        <v>5</v>
      </c>
      <c r="D23" s="12" t="s">
        <v>42</v>
      </c>
      <c r="E23" s="137"/>
    </row>
    <row r="24" spans="2:5">
      <c r="B24" s="11" t="s">
        <v>54</v>
      </c>
      <c r="C24" s="3">
        <v>8</v>
      </c>
      <c r="D24" s="12" t="s">
        <v>40</v>
      </c>
      <c r="E24" s="137"/>
    </row>
    <row r="25" spans="2:5">
      <c r="B25" s="11" t="s">
        <v>74</v>
      </c>
      <c r="C25" s="3">
        <v>12</v>
      </c>
      <c r="D25" s="12" t="s">
        <v>40</v>
      </c>
      <c r="E25" s="137"/>
    </row>
    <row r="26" spans="2:5">
      <c r="B26" s="11" t="s">
        <v>75</v>
      </c>
      <c r="C26" s="3">
        <v>5</v>
      </c>
      <c r="D26" s="12" t="s">
        <v>42</v>
      </c>
      <c r="E26" s="137"/>
    </row>
    <row r="27" spans="2:5">
      <c r="B27" s="11" t="s">
        <v>76</v>
      </c>
      <c r="C27" s="3">
        <v>12</v>
      </c>
      <c r="D27" s="12" t="s">
        <v>42</v>
      </c>
      <c r="E27" s="137"/>
    </row>
    <row r="28" spans="2:5">
      <c r="B28" s="11" t="s">
        <v>55</v>
      </c>
      <c r="C28" s="3">
        <v>10</v>
      </c>
      <c r="D28" s="12" t="s">
        <v>41</v>
      </c>
      <c r="E28" s="137"/>
    </row>
    <row r="29" spans="2:5">
      <c r="B29" s="11" t="s">
        <v>77</v>
      </c>
      <c r="C29" s="3">
        <v>8</v>
      </c>
      <c r="D29" s="12" t="s">
        <v>42</v>
      </c>
      <c r="E29" s="137"/>
    </row>
    <row r="30" spans="2:5">
      <c r="B30" s="11" t="s">
        <v>78</v>
      </c>
      <c r="C30" s="3">
        <v>15</v>
      </c>
      <c r="D30" s="12" t="s">
        <v>42</v>
      </c>
      <c r="E30" s="137"/>
    </row>
    <row r="31" spans="2:5">
      <c r="B31" s="11" t="s">
        <v>79</v>
      </c>
      <c r="C31" s="3">
        <v>15</v>
      </c>
      <c r="D31" s="12" t="s">
        <v>42</v>
      </c>
      <c r="E31" s="137"/>
    </row>
    <row r="32" spans="2:5" ht="15" thickBot="1">
      <c r="B32" s="96" t="s">
        <v>80</v>
      </c>
      <c r="C32" s="97">
        <v>9</v>
      </c>
      <c r="D32" s="98" t="s">
        <v>42</v>
      </c>
      <c r="E32" s="138"/>
    </row>
    <row r="33" spans="2:5">
      <c r="B33" s="42" t="s">
        <v>103</v>
      </c>
      <c r="C33" s="43">
        <v>14</v>
      </c>
      <c r="D33" s="44" t="s">
        <v>40</v>
      </c>
      <c r="E33" s="137" t="s">
        <v>148</v>
      </c>
    </row>
    <row r="34" spans="2:5">
      <c r="B34" s="11" t="s">
        <v>104</v>
      </c>
      <c r="C34" s="3">
        <v>9</v>
      </c>
      <c r="D34" s="12" t="s">
        <v>40</v>
      </c>
      <c r="E34" s="137"/>
    </row>
    <row r="35" spans="2:5">
      <c r="B35" s="11" t="s">
        <v>105</v>
      </c>
      <c r="C35" s="3">
        <v>13</v>
      </c>
      <c r="D35" s="12" t="s">
        <v>42</v>
      </c>
      <c r="E35" s="137"/>
    </row>
    <row r="36" spans="2:5">
      <c r="B36" s="11" t="s">
        <v>106</v>
      </c>
      <c r="C36" s="3">
        <v>5</v>
      </c>
      <c r="D36" s="12" t="s">
        <v>45</v>
      </c>
      <c r="E36" s="137"/>
    </row>
    <row r="37" spans="2:5">
      <c r="B37" s="11" t="s">
        <v>107</v>
      </c>
      <c r="C37" s="3">
        <v>12</v>
      </c>
      <c r="D37" s="12" t="s">
        <v>41</v>
      </c>
      <c r="E37" s="137"/>
    </row>
    <row r="38" spans="2:5">
      <c r="B38" s="11" t="s">
        <v>108</v>
      </c>
      <c r="C38" s="3">
        <v>4</v>
      </c>
      <c r="D38" s="12" t="s">
        <v>45</v>
      </c>
      <c r="E38" s="137"/>
    </row>
    <row r="39" spans="2:5">
      <c r="B39" s="11" t="s">
        <v>109</v>
      </c>
      <c r="C39" s="3">
        <v>9</v>
      </c>
      <c r="D39" s="12" t="s">
        <v>40</v>
      </c>
      <c r="E39" s="137"/>
    </row>
    <row r="40" spans="2:5">
      <c r="B40" s="11" t="s">
        <v>110</v>
      </c>
      <c r="C40" s="3">
        <v>15</v>
      </c>
      <c r="D40" s="12" t="s">
        <v>42</v>
      </c>
      <c r="E40" s="137"/>
    </row>
    <row r="41" spans="2:5">
      <c r="B41" s="11" t="s">
        <v>111</v>
      </c>
      <c r="C41" s="3">
        <v>6</v>
      </c>
      <c r="D41" s="12" t="s">
        <v>42</v>
      </c>
      <c r="E41" s="137"/>
    </row>
    <row r="42" spans="2:5">
      <c r="B42" s="11" t="s">
        <v>112</v>
      </c>
      <c r="C42" s="3">
        <v>14</v>
      </c>
      <c r="D42" s="12" t="s">
        <v>42</v>
      </c>
      <c r="E42" s="137"/>
    </row>
    <row r="43" spans="2:5">
      <c r="B43" s="11" t="s">
        <v>113</v>
      </c>
      <c r="C43" s="3">
        <v>10</v>
      </c>
      <c r="D43" s="12" t="s">
        <v>41</v>
      </c>
      <c r="E43" s="137"/>
    </row>
    <row r="44" spans="2:5">
      <c r="B44" s="11" t="s">
        <v>114</v>
      </c>
      <c r="C44" s="3">
        <v>8</v>
      </c>
      <c r="D44" s="12" t="s">
        <v>45</v>
      </c>
      <c r="E44" s="137"/>
    </row>
    <row r="45" spans="2:5">
      <c r="B45" s="11" t="s">
        <v>115</v>
      </c>
      <c r="C45" s="3">
        <v>9</v>
      </c>
      <c r="D45" s="12" t="s">
        <v>42</v>
      </c>
      <c r="E45" s="137"/>
    </row>
    <row r="46" spans="2:5">
      <c r="B46" s="11" t="s">
        <v>116</v>
      </c>
      <c r="C46" s="3">
        <v>18</v>
      </c>
      <c r="D46" s="12" t="s">
        <v>45</v>
      </c>
      <c r="E46" s="137"/>
    </row>
    <row r="47" spans="2:5" ht="15" thickBot="1">
      <c r="B47" s="13" t="s">
        <v>117</v>
      </c>
      <c r="C47" s="14">
        <v>14</v>
      </c>
      <c r="D47" s="15" t="s">
        <v>40</v>
      </c>
      <c r="E47" s="137"/>
    </row>
    <row r="48" spans="2:5">
      <c r="B48" s="42" t="s">
        <v>118</v>
      </c>
      <c r="C48" s="43">
        <v>11</v>
      </c>
      <c r="D48" s="44" t="s">
        <v>40</v>
      </c>
      <c r="E48" s="139" t="s">
        <v>149</v>
      </c>
    </row>
    <row r="49" spans="2:5">
      <c r="B49" s="11" t="s">
        <v>119</v>
      </c>
      <c r="C49" s="3">
        <v>9</v>
      </c>
      <c r="D49" s="12" t="s">
        <v>42</v>
      </c>
      <c r="E49" s="137"/>
    </row>
    <row r="50" spans="2:5">
      <c r="B50" s="11" t="s">
        <v>120</v>
      </c>
      <c r="C50" s="3">
        <v>9</v>
      </c>
      <c r="D50" s="12" t="s">
        <v>40</v>
      </c>
      <c r="E50" s="137"/>
    </row>
    <row r="51" spans="2:5">
      <c r="B51" s="11" t="s">
        <v>121</v>
      </c>
      <c r="C51" s="3">
        <v>11</v>
      </c>
      <c r="D51" s="12" t="s">
        <v>40</v>
      </c>
      <c r="E51" s="137"/>
    </row>
    <row r="52" spans="2:5">
      <c r="B52" s="11" t="s">
        <v>122</v>
      </c>
      <c r="C52" s="3">
        <v>8</v>
      </c>
      <c r="D52" s="12" t="s">
        <v>45</v>
      </c>
      <c r="E52" s="137"/>
    </row>
    <row r="53" spans="2:5">
      <c r="B53" s="11" t="s">
        <v>123</v>
      </c>
      <c r="C53" s="3">
        <v>7</v>
      </c>
      <c r="D53" s="12" t="s">
        <v>42</v>
      </c>
      <c r="E53" s="137"/>
    </row>
    <row r="54" spans="2:5">
      <c r="B54" s="11" t="s">
        <v>124</v>
      </c>
      <c r="C54" s="3">
        <v>16</v>
      </c>
      <c r="D54" s="12" t="s">
        <v>45</v>
      </c>
      <c r="E54" s="137"/>
    </row>
    <row r="55" spans="2:5">
      <c r="B55" s="11" t="s">
        <v>125</v>
      </c>
      <c r="C55" s="3">
        <v>10</v>
      </c>
      <c r="D55" s="12" t="s">
        <v>40</v>
      </c>
      <c r="E55" s="137"/>
    </row>
    <row r="56" spans="2:5">
      <c r="B56" s="11" t="s">
        <v>126</v>
      </c>
      <c r="C56" s="3">
        <v>11</v>
      </c>
      <c r="D56" s="12" t="s">
        <v>41</v>
      </c>
      <c r="E56" s="137"/>
    </row>
    <row r="57" spans="2:5">
      <c r="B57" s="11" t="s">
        <v>127</v>
      </c>
      <c r="C57" s="3">
        <v>8</v>
      </c>
      <c r="D57" s="12" t="s">
        <v>42</v>
      </c>
      <c r="E57" s="137"/>
    </row>
    <row r="58" spans="2:5">
      <c r="B58" s="11" t="s">
        <v>128</v>
      </c>
      <c r="C58" s="3">
        <v>11</v>
      </c>
      <c r="D58" s="12" t="s">
        <v>42</v>
      </c>
      <c r="E58" s="137"/>
    </row>
    <row r="59" spans="2:5">
      <c r="B59" s="11" t="s">
        <v>129</v>
      </c>
      <c r="C59" s="3">
        <v>9</v>
      </c>
      <c r="D59" s="12" t="s">
        <v>45</v>
      </c>
      <c r="E59" s="137"/>
    </row>
    <row r="60" spans="2:5">
      <c r="B60" s="11" t="s">
        <v>130</v>
      </c>
      <c r="C60" s="3">
        <v>12</v>
      </c>
      <c r="D60" s="12" t="s">
        <v>40</v>
      </c>
      <c r="E60" s="137"/>
    </row>
    <row r="61" spans="2:5">
      <c r="B61" s="11" t="s">
        <v>131</v>
      </c>
      <c r="C61" s="3">
        <v>9</v>
      </c>
      <c r="D61" s="12" t="s">
        <v>45</v>
      </c>
      <c r="E61" s="137"/>
    </row>
    <row r="62" spans="2:5" ht="15" thickBot="1">
      <c r="B62" s="13" t="s">
        <v>132</v>
      </c>
      <c r="C62" s="14">
        <v>11</v>
      </c>
      <c r="D62" s="15" t="s">
        <v>45</v>
      </c>
      <c r="E62" s="137"/>
    </row>
    <row r="63" spans="2:5">
      <c r="B63" s="42" t="s">
        <v>133</v>
      </c>
      <c r="C63" s="43">
        <v>15</v>
      </c>
      <c r="D63" s="44" t="s">
        <v>41</v>
      </c>
      <c r="E63" s="137" t="s">
        <v>150</v>
      </c>
    </row>
    <row r="64" spans="2:5">
      <c r="B64" s="11" t="s">
        <v>134</v>
      </c>
      <c r="C64" s="3">
        <v>13</v>
      </c>
      <c r="D64" s="12" t="s">
        <v>40</v>
      </c>
      <c r="E64" s="137"/>
    </row>
    <row r="65" spans="2:5">
      <c r="B65" s="11" t="s">
        <v>135</v>
      </c>
      <c r="C65" s="3">
        <v>15</v>
      </c>
      <c r="D65" s="12" t="s">
        <v>45</v>
      </c>
      <c r="E65" s="137"/>
    </row>
    <row r="66" spans="2:5">
      <c r="B66" s="11" t="s">
        <v>136</v>
      </c>
      <c r="C66" s="3">
        <v>8</v>
      </c>
      <c r="D66" s="12" t="s">
        <v>42</v>
      </c>
      <c r="E66" s="137"/>
    </row>
    <row r="67" spans="2:5">
      <c r="B67" s="11" t="s">
        <v>137</v>
      </c>
      <c r="C67" s="3">
        <v>9</v>
      </c>
      <c r="D67" s="12" t="s">
        <v>45</v>
      </c>
      <c r="E67" s="137"/>
    </row>
    <row r="68" spans="2:5">
      <c r="B68" s="11" t="s">
        <v>138</v>
      </c>
      <c r="C68" s="3">
        <v>9</v>
      </c>
      <c r="D68" s="12" t="s">
        <v>40</v>
      </c>
      <c r="E68" s="137"/>
    </row>
    <row r="69" spans="2:5">
      <c r="B69" s="11" t="s">
        <v>139</v>
      </c>
      <c r="C69" s="3">
        <v>8</v>
      </c>
      <c r="D69" s="12" t="s">
        <v>42</v>
      </c>
      <c r="E69" s="137"/>
    </row>
    <row r="70" spans="2:5">
      <c r="B70" s="11" t="s">
        <v>140</v>
      </c>
      <c r="C70" s="3">
        <v>10</v>
      </c>
      <c r="D70" s="12" t="s">
        <v>42</v>
      </c>
      <c r="E70" s="137"/>
    </row>
    <row r="71" spans="2:5">
      <c r="B71" s="11" t="s">
        <v>141</v>
      </c>
      <c r="C71" s="3">
        <v>14</v>
      </c>
      <c r="D71" s="12" t="s">
        <v>45</v>
      </c>
      <c r="E71" s="137"/>
    </row>
    <row r="72" spans="2:5">
      <c r="B72" s="11" t="s">
        <v>142</v>
      </c>
      <c r="C72" s="3">
        <v>9</v>
      </c>
      <c r="D72" s="12" t="s">
        <v>42</v>
      </c>
      <c r="E72" s="137"/>
    </row>
    <row r="73" spans="2:5">
      <c r="B73" s="11" t="s">
        <v>143</v>
      </c>
      <c r="C73" s="3">
        <v>11</v>
      </c>
      <c r="D73" s="12" t="s">
        <v>42</v>
      </c>
      <c r="E73" s="137"/>
    </row>
    <row r="74" spans="2:5">
      <c r="B74" s="11" t="s">
        <v>144</v>
      </c>
      <c r="C74" s="3">
        <v>13</v>
      </c>
      <c r="D74" s="12" t="s">
        <v>45</v>
      </c>
      <c r="E74" s="137"/>
    </row>
    <row r="75" spans="2:5">
      <c r="B75" s="11" t="s">
        <v>145</v>
      </c>
      <c r="C75" s="3">
        <v>11</v>
      </c>
      <c r="D75" s="12" t="s">
        <v>40</v>
      </c>
      <c r="E75" s="137"/>
    </row>
    <row r="76" spans="2:5">
      <c r="B76" s="11" t="s">
        <v>146</v>
      </c>
      <c r="C76" s="3">
        <v>11</v>
      </c>
      <c r="D76" s="12" t="s">
        <v>40</v>
      </c>
      <c r="E76" s="137"/>
    </row>
    <row r="77" spans="2:5" ht="15" thickBot="1">
      <c r="B77" s="13" t="s">
        <v>147</v>
      </c>
      <c r="C77" s="14">
        <v>12</v>
      </c>
      <c r="D77" s="15" t="s">
        <v>40</v>
      </c>
      <c r="E77" s="137"/>
    </row>
    <row r="78" spans="2:5">
      <c r="B78" s="42" t="s">
        <v>152</v>
      </c>
      <c r="C78" s="43">
        <v>15</v>
      </c>
      <c r="D78" s="44" t="s">
        <v>45</v>
      </c>
      <c r="E78" s="137" t="s">
        <v>151</v>
      </c>
    </row>
    <row r="79" spans="2:5">
      <c r="B79" s="11" t="s">
        <v>153</v>
      </c>
      <c r="C79" s="3">
        <v>11</v>
      </c>
      <c r="D79" s="12" t="s">
        <v>40</v>
      </c>
      <c r="E79" s="137"/>
    </row>
    <row r="80" spans="2:5">
      <c r="B80" s="11" t="s">
        <v>154</v>
      </c>
      <c r="C80" s="3">
        <v>14</v>
      </c>
      <c r="D80" s="12" t="s">
        <v>45</v>
      </c>
      <c r="E80" s="137"/>
    </row>
    <row r="81" spans="2:5">
      <c r="B81" s="11" t="s">
        <v>155</v>
      </c>
      <c r="C81" s="3">
        <v>8</v>
      </c>
      <c r="D81" s="12" t="s">
        <v>42</v>
      </c>
      <c r="E81" s="137"/>
    </row>
    <row r="82" spans="2:5">
      <c r="B82" s="11" t="s">
        <v>156</v>
      </c>
      <c r="C82" s="3">
        <v>8</v>
      </c>
      <c r="D82" s="12" t="s">
        <v>40</v>
      </c>
      <c r="E82" s="137"/>
    </row>
    <row r="83" spans="2:5">
      <c r="B83" s="11" t="s">
        <v>157</v>
      </c>
      <c r="C83" s="3">
        <v>7</v>
      </c>
      <c r="D83" s="12" t="s">
        <v>40</v>
      </c>
      <c r="E83" s="137"/>
    </row>
    <row r="84" spans="2:5">
      <c r="B84" s="11" t="s">
        <v>158</v>
      </c>
      <c r="C84" s="3">
        <v>7</v>
      </c>
      <c r="D84" s="12" t="s">
        <v>40</v>
      </c>
      <c r="E84" s="137"/>
    </row>
    <row r="85" spans="2:5">
      <c r="B85" s="11" t="s">
        <v>159</v>
      </c>
      <c r="C85" s="3">
        <v>13</v>
      </c>
      <c r="D85" s="12" t="s">
        <v>41</v>
      </c>
      <c r="E85" s="137"/>
    </row>
    <row r="86" spans="2:5">
      <c r="B86" s="11" t="s">
        <v>160</v>
      </c>
      <c r="C86" s="3">
        <v>12</v>
      </c>
      <c r="D86" s="12" t="s">
        <v>45</v>
      </c>
      <c r="E86" s="137"/>
    </row>
    <row r="87" spans="2:5">
      <c r="B87" s="11" t="s">
        <v>161</v>
      </c>
      <c r="C87" s="3">
        <v>13</v>
      </c>
      <c r="D87" s="12" t="s">
        <v>45</v>
      </c>
      <c r="E87" s="137"/>
    </row>
    <row r="88" spans="2:5">
      <c r="B88" s="11" t="s">
        <v>162</v>
      </c>
      <c r="C88" s="3">
        <v>9</v>
      </c>
      <c r="D88" s="12" t="s">
        <v>42</v>
      </c>
      <c r="E88" s="137"/>
    </row>
    <row r="89" spans="2:5">
      <c r="B89" s="11" t="s">
        <v>163</v>
      </c>
      <c r="C89" s="3">
        <v>11</v>
      </c>
      <c r="D89" s="12" t="s">
        <v>40</v>
      </c>
      <c r="E89" s="137"/>
    </row>
    <row r="90" spans="2:5">
      <c r="B90" s="11" t="s">
        <v>164</v>
      </c>
      <c r="C90" s="3">
        <v>11</v>
      </c>
      <c r="D90" s="12" t="s">
        <v>42</v>
      </c>
      <c r="E90" s="137"/>
    </row>
    <row r="91" spans="2:5">
      <c r="B91" s="11" t="s">
        <v>165</v>
      </c>
      <c r="C91" s="3">
        <v>7</v>
      </c>
      <c r="D91" s="12" t="s">
        <v>42</v>
      </c>
      <c r="E91" s="137"/>
    </row>
    <row r="92" spans="2:5" ht="15" thickBot="1">
      <c r="B92" s="13" t="s">
        <v>166</v>
      </c>
      <c r="C92" s="14">
        <v>8</v>
      </c>
      <c r="D92" s="15" t="s">
        <v>40</v>
      </c>
      <c r="E92" s="137"/>
    </row>
    <row r="93" spans="2:5">
      <c r="B93" s="42" t="s">
        <v>167</v>
      </c>
      <c r="C93" s="43">
        <v>13</v>
      </c>
      <c r="D93" s="44" t="s">
        <v>45</v>
      </c>
      <c r="E93" s="137" t="s">
        <v>99</v>
      </c>
    </row>
    <row r="94" spans="2:5">
      <c r="B94" s="11" t="s">
        <v>168</v>
      </c>
      <c r="C94" s="3">
        <v>6</v>
      </c>
      <c r="D94" s="12" t="s">
        <v>42</v>
      </c>
      <c r="E94" s="137"/>
    </row>
    <row r="95" spans="2:5">
      <c r="B95" s="11" t="s">
        <v>169</v>
      </c>
      <c r="C95" s="3">
        <v>12</v>
      </c>
      <c r="D95" s="12" t="s">
        <v>45</v>
      </c>
      <c r="E95" s="137"/>
    </row>
    <row r="96" spans="2:5">
      <c r="B96" s="11" t="s">
        <v>170</v>
      </c>
      <c r="C96" s="3">
        <v>9</v>
      </c>
      <c r="D96" s="12" t="s">
        <v>40</v>
      </c>
      <c r="E96" s="137"/>
    </row>
    <row r="97" spans="2:5">
      <c r="B97" s="11" t="s">
        <v>171</v>
      </c>
      <c r="C97" s="3">
        <v>6</v>
      </c>
      <c r="D97" s="12" t="s">
        <v>40</v>
      </c>
      <c r="E97" s="137"/>
    </row>
    <row r="98" spans="2:5">
      <c r="B98" s="11" t="s">
        <v>172</v>
      </c>
      <c r="C98" s="3">
        <v>16</v>
      </c>
      <c r="D98" s="12" t="s">
        <v>41</v>
      </c>
      <c r="E98" s="137"/>
    </row>
    <row r="99" spans="2:5">
      <c r="B99" s="11" t="s">
        <v>173</v>
      </c>
      <c r="C99" s="3">
        <v>14</v>
      </c>
      <c r="D99" s="12" t="s">
        <v>42</v>
      </c>
      <c r="E99" s="137"/>
    </row>
    <row r="100" spans="2:5">
      <c r="B100" s="11" t="s">
        <v>174</v>
      </c>
      <c r="C100" s="3">
        <v>8</v>
      </c>
      <c r="D100" s="12" t="s">
        <v>42</v>
      </c>
      <c r="E100" s="137"/>
    </row>
    <row r="101" spans="2:5">
      <c r="B101" s="11" t="s">
        <v>175</v>
      </c>
      <c r="C101" s="3">
        <v>14</v>
      </c>
      <c r="D101" s="12" t="s">
        <v>45</v>
      </c>
      <c r="E101" s="137"/>
    </row>
    <row r="102" spans="2:5">
      <c r="B102" s="11" t="s">
        <v>176</v>
      </c>
      <c r="C102" s="3">
        <v>12</v>
      </c>
      <c r="D102" s="12" t="s">
        <v>45</v>
      </c>
      <c r="E102" s="137"/>
    </row>
    <row r="103" spans="2:5">
      <c r="B103" s="11" t="s">
        <v>177</v>
      </c>
      <c r="C103" s="3">
        <v>9</v>
      </c>
      <c r="D103" s="12" t="s">
        <v>42</v>
      </c>
      <c r="E103" s="137"/>
    </row>
    <row r="104" spans="2:5">
      <c r="B104" s="11" t="s">
        <v>178</v>
      </c>
      <c r="C104" s="3">
        <v>14</v>
      </c>
      <c r="D104" s="12" t="s">
        <v>45</v>
      </c>
      <c r="E104" s="137"/>
    </row>
    <row r="105" spans="2:5">
      <c r="B105" s="11" t="s">
        <v>179</v>
      </c>
      <c r="C105" s="3">
        <v>12</v>
      </c>
      <c r="D105" s="12" t="s">
        <v>40</v>
      </c>
      <c r="E105" s="137"/>
    </row>
    <row r="106" spans="2:5">
      <c r="B106" s="11" t="s">
        <v>180</v>
      </c>
      <c r="C106" s="3">
        <v>6</v>
      </c>
      <c r="D106" s="12" t="s">
        <v>40</v>
      </c>
      <c r="E106" s="137"/>
    </row>
    <row r="107" spans="2:5" ht="15" thickBot="1">
      <c r="B107" s="13" t="s">
        <v>181</v>
      </c>
      <c r="C107" s="14">
        <v>5</v>
      </c>
      <c r="D107" s="15" t="s">
        <v>40</v>
      </c>
      <c r="E107" s="137"/>
    </row>
    <row r="108" spans="2:5">
      <c r="B108" s="42" t="s">
        <v>182</v>
      </c>
      <c r="C108" s="43">
        <v>12</v>
      </c>
      <c r="D108" s="44" t="s">
        <v>45</v>
      </c>
      <c r="E108" s="137" t="s">
        <v>102</v>
      </c>
    </row>
    <row r="109" spans="2:5">
      <c r="B109" s="11" t="s">
        <v>183</v>
      </c>
      <c r="C109" s="3">
        <v>11</v>
      </c>
      <c r="D109" s="12" t="s">
        <v>40</v>
      </c>
      <c r="E109" s="137"/>
    </row>
    <row r="110" spans="2:5">
      <c r="B110" s="11" t="s">
        <v>184</v>
      </c>
      <c r="C110" s="3">
        <v>11</v>
      </c>
      <c r="D110" s="12" t="s">
        <v>41</v>
      </c>
      <c r="E110" s="137"/>
    </row>
    <row r="111" spans="2:5">
      <c r="B111" s="11" t="s">
        <v>185</v>
      </c>
      <c r="C111" s="3">
        <v>7</v>
      </c>
      <c r="D111" s="12" t="s">
        <v>42</v>
      </c>
      <c r="E111" s="137"/>
    </row>
    <row r="112" spans="2:5">
      <c r="B112" s="11" t="s">
        <v>186</v>
      </c>
      <c r="C112" s="3">
        <v>11</v>
      </c>
      <c r="D112" s="12" t="s">
        <v>45</v>
      </c>
      <c r="E112" s="137"/>
    </row>
    <row r="113" spans="2:5">
      <c r="B113" s="11" t="s">
        <v>187</v>
      </c>
      <c r="C113" s="3">
        <v>14</v>
      </c>
      <c r="D113" s="12" t="s">
        <v>40</v>
      </c>
      <c r="E113" s="137"/>
    </row>
    <row r="114" spans="2:5">
      <c r="B114" s="11" t="s">
        <v>188</v>
      </c>
      <c r="C114" s="3">
        <v>11</v>
      </c>
      <c r="D114" s="12" t="s">
        <v>40</v>
      </c>
      <c r="E114" s="137"/>
    </row>
    <row r="115" spans="2:5">
      <c r="B115" s="11" t="s">
        <v>189</v>
      </c>
      <c r="C115" s="3">
        <v>15</v>
      </c>
      <c r="D115" s="12" t="s">
        <v>40</v>
      </c>
      <c r="E115" s="137"/>
    </row>
    <row r="116" spans="2:5">
      <c r="B116" s="11" t="s">
        <v>190</v>
      </c>
      <c r="C116" s="3">
        <v>5</v>
      </c>
      <c r="D116" s="12" t="s">
        <v>40</v>
      </c>
      <c r="E116" s="137"/>
    </row>
    <row r="117" spans="2:5">
      <c r="B117" s="11" t="s">
        <v>191</v>
      </c>
      <c r="C117" s="3">
        <v>16</v>
      </c>
      <c r="D117" s="12" t="s">
        <v>45</v>
      </c>
      <c r="E117" s="137"/>
    </row>
    <row r="118" spans="2:5">
      <c r="B118" s="11" t="s">
        <v>192</v>
      </c>
      <c r="C118" s="3">
        <v>11</v>
      </c>
      <c r="D118" s="12" t="s">
        <v>45</v>
      </c>
      <c r="E118" s="137"/>
    </row>
    <row r="119" spans="2:5">
      <c r="B119" s="11" t="s">
        <v>193</v>
      </c>
      <c r="C119" s="3">
        <v>7</v>
      </c>
      <c r="D119" s="12" t="s">
        <v>42</v>
      </c>
      <c r="E119" s="137"/>
    </row>
    <row r="120" spans="2:5">
      <c r="B120" s="11" t="s">
        <v>194</v>
      </c>
      <c r="C120" s="3">
        <v>11</v>
      </c>
      <c r="D120" s="12" t="s">
        <v>45</v>
      </c>
      <c r="E120" s="137"/>
    </row>
    <row r="121" spans="2:5">
      <c r="B121" s="11" t="s">
        <v>195</v>
      </c>
      <c r="C121" s="3">
        <v>11</v>
      </c>
      <c r="D121" s="12" t="s">
        <v>40</v>
      </c>
      <c r="E121" s="137"/>
    </row>
    <row r="122" spans="2:5" ht="15" thickBot="1">
      <c r="B122" s="13" t="s">
        <v>196</v>
      </c>
      <c r="C122" s="14">
        <v>7</v>
      </c>
      <c r="D122" s="15" t="s">
        <v>40</v>
      </c>
      <c r="E122" s="137"/>
    </row>
    <row r="123" spans="2:5">
      <c r="B123" s="99" t="s">
        <v>197</v>
      </c>
      <c r="C123" s="100">
        <v>14</v>
      </c>
      <c r="D123" s="101" t="s">
        <v>45</v>
      </c>
      <c r="E123" s="137" t="s">
        <v>101</v>
      </c>
    </row>
    <row r="124" spans="2:5">
      <c r="B124" s="11" t="s">
        <v>198</v>
      </c>
      <c r="C124" s="3">
        <v>12</v>
      </c>
      <c r="D124" s="12" t="s">
        <v>40</v>
      </c>
      <c r="E124" s="137"/>
    </row>
    <row r="125" spans="2:5">
      <c r="B125" s="11" t="s">
        <v>199</v>
      </c>
      <c r="C125" s="3">
        <v>13</v>
      </c>
      <c r="D125" s="12" t="s">
        <v>45</v>
      </c>
      <c r="E125" s="137"/>
    </row>
    <row r="126" spans="2:5">
      <c r="B126" s="11" t="s">
        <v>200</v>
      </c>
      <c r="C126" s="3">
        <v>8</v>
      </c>
      <c r="D126" s="12" t="s">
        <v>40</v>
      </c>
      <c r="E126" s="137"/>
    </row>
    <row r="127" spans="2:5">
      <c r="B127" s="11" t="s">
        <v>201</v>
      </c>
      <c r="C127" s="3">
        <v>7</v>
      </c>
      <c r="D127" s="12" t="s">
        <v>40</v>
      </c>
      <c r="E127" s="137"/>
    </row>
    <row r="128" spans="2:5">
      <c r="B128" s="11" t="s">
        <v>202</v>
      </c>
      <c r="C128" s="3">
        <v>8</v>
      </c>
      <c r="D128" s="12" t="s">
        <v>40</v>
      </c>
      <c r="E128" s="137"/>
    </row>
    <row r="129" spans="2:5">
      <c r="B129" s="11" t="s">
        <v>203</v>
      </c>
      <c r="C129" s="3">
        <v>12</v>
      </c>
      <c r="D129" s="12" t="s">
        <v>40</v>
      </c>
      <c r="E129" s="137"/>
    </row>
    <row r="130" spans="2:5">
      <c r="B130" s="11" t="s">
        <v>204</v>
      </c>
      <c r="C130" s="3">
        <v>12</v>
      </c>
      <c r="D130" s="12" t="s">
        <v>41</v>
      </c>
      <c r="E130" s="137"/>
    </row>
    <row r="131" spans="2:5">
      <c r="B131" s="11" t="s">
        <v>205</v>
      </c>
      <c r="C131" s="3">
        <v>6</v>
      </c>
      <c r="D131" s="12" t="s">
        <v>40</v>
      </c>
      <c r="E131" s="137"/>
    </row>
    <row r="132" spans="2:5">
      <c r="B132" s="11" t="s">
        <v>206</v>
      </c>
      <c r="C132" s="3">
        <v>5</v>
      </c>
      <c r="D132" s="12" t="s">
        <v>40</v>
      </c>
      <c r="E132" s="137"/>
    </row>
    <row r="133" spans="2:5">
      <c r="B133" s="11" t="s">
        <v>207</v>
      </c>
      <c r="C133" s="3">
        <v>9</v>
      </c>
      <c r="D133" s="12" t="s">
        <v>45</v>
      </c>
      <c r="E133" s="137"/>
    </row>
    <row r="134" spans="2:5">
      <c r="B134" s="11" t="s">
        <v>208</v>
      </c>
      <c r="C134" s="3">
        <v>4</v>
      </c>
      <c r="D134" s="12" t="s">
        <v>40</v>
      </c>
      <c r="E134" s="137"/>
    </row>
    <row r="135" spans="2:5">
      <c r="B135" s="11" t="s">
        <v>209</v>
      </c>
      <c r="C135" s="3">
        <v>7</v>
      </c>
      <c r="D135" s="12" t="s">
        <v>42</v>
      </c>
      <c r="E135" s="137"/>
    </row>
    <row r="136" spans="2:5">
      <c r="B136" s="11" t="s">
        <v>210</v>
      </c>
      <c r="C136" s="3">
        <v>9</v>
      </c>
      <c r="D136" s="12" t="s">
        <v>40</v>
      </c>
      <c r="E136" s="137"/>
    </row>
    <row r="137" spans="2:5" ht="15" thickBot="1">
      <c r="B137" s="13" t="s">
        <v>211</v>
      </c>
      <c r="C137" s="14">
        <v>6</v>
      </c>
      <c r="D137" s="15" t="s">
        <v>42</v>
      </c>
      <c r="E137" s="137"/>
    </row>
  </sheetData>
  <mergeCells count="9">
    <mergeCell ref="E108:E122"/>
    <mergeCell ref="E123:E137"/>
    <mergeCell ref="E3:E17"/>
    <mergeCell ref="E93:E107"/>
    <mergeCell ref="E18:E32"/>
    <mergeCell ref="E33:E47"/>
    <mergeCell ref="E48:E62"/>
    <mergeCell ref="E78:E92"/>
    <mergeCell ref="E63:E77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N7"/>
  <sheetViews>
    <sheetView workbookViewId="0">
      <selection activeCell="E11" sqref="E11"/>
    </sheetView>
  </sheetViews>
  <sheetFormatPr defaultRowHeight="14.5"/>
  <cols>
    <col min="1" max="1" width="9.7265625" style="20" bestFit="1" customWidth="1"/>
    <col min="2" max="2" width="6.81640625" style="20" bestFit="1" customWidth="1"/>
    <col min="3" max="3" width="16.1796875" bestFit="1" customWidth="1"/>
    <col min="4" max="4" width="16.26953125" bestFit="1" customWidth="1"/>
    <col min="5" max="5" width="16" bestFit="1" customWidth="1"/>
    <col min="6" max="6" width="15.453125" bestFit="1" customWidth="1"/>
    <col min="7" max="7" width="15.1796875" bestFit="1" customWidth="1"/>
    <col min="8" max="8" width="16" bestFit="1" customWidth="1"/>
    <col min="9" max="9" width="11.26953125" bestFit="1" customWidth="1"/>
    <col min="10" max="10" width="13.7265625" bestFit="1" customWidth="1"/>
    <col min="11" max="11" width="15.453125" bestFit="1" customWidth="1"/>
    <col min="12" max="12" width="12.81640625" bestFit="1" customWidth="1"/>
    <col min="13" max="13" width="14.54296875" bestFit="1" customWidth="1"/>
  </cols>
  <sheetData>
    <row r="1" spans="1:14">
      <c r="A1" s="21" t="s">
        <v>26</v>
      </c>
      <c r="B1" s="21" t="s">
        <v>5</v>
      </c>
      <c r="C1" s="22" t="s">
        <v>27</v>
      </c>
      <c r="D1" s="22" t="s">
        <v>28</v>
      </c>
      <c r="E1" s="22" t="s">
        <v>29</v>
      </c>
      <c r="F1" s="22" t="s">
        <v>30</v>
      </c>
      <c r="G1" s="22" t="s">
        <v>31</v>
      </c>
      <c r="H1" s="22" t="s">
        <v>87</v>
      </c>
      <c r="I1" s="22" t="s">
        <v>88</v>
      </c>
      <c r="J1" s="22" t="s">
        <v>89</v>
      </c>
      <c r="K1" s="22" t="s">
        <v>90</v>
      </c>
      <c r="L1" s="22" t="s">
        <v>91</v>
      </c>
      <c r="M1" s="22" t="s">
        <v>92</v>
      </c>
      <c r="N1" s="22" t="s">
        <v>21</v>
      </c>
    </row>
    <row r="2" spans="1:14">
      <c r="A2" s="20">
        <v>40562</v>
      </c>
      <c r="B2" s="20" t="s">
        <v>216</v>
      </c>
      <c r="C2" t="s">
        <v>57</v>
      </c>
      <c r="D2" t="s">
        <v>58</v>
      </c>
      <c r="E2" t="s">
        <v>59</v>
      </c>
      <c r="F2" t="s">
        <v>61</v>
      </c>
      <c r="G2" t="s">
        <v>81</v>
      </c>
      <c r="H2" t="s">
        <v>62</v>
      </c>
      <c r="I2" t="s">
        <v>63</v>
      </c>
      <c r="J2" t="s">
        <v>68</v>
      </c>
      <c r="K2" t="s">
        <v>67</v>
      </c>
      <c r="L2" t="s">
        <v>212</v>
      </c>
      <c r="M2" t="s">
        <v>64</v>
      </c>
      <c r="N2">
        <v>519</v>
      </c>
    </row>
    <row r="3" spans="1:14">
      <c r="A3" s="20">
        <v>40562</v>
      </c>
      <c r="B3" s="20" t="s">
        <v>217</v>
      </c>
      <c r="C3" t="s">
        <v>57</v>
      </c>
      <c r="D3" t="s">
        <v>58</v>
      </c>
      <c r="E3" t="s">
        <v>60</v>
      </c>
      <c r="F3" t="s">
        <v>198</v>
      </c>
      <c r="G3" t="s">
        <v>62</v>
      </c>
      <c r="H3" t="s">
        <v>65</v>
      </c>
      <c r="I3" t="s">
        <v>61</v>
      </c>
      <c r="J3" t="s">
        <v>66</v>
      </c>
      <c r="K3" t="s">
        <v>67</v>
      </c>
      <c r="L3" t="s">
        <v>68</v>
      </c>
      <c r="M3" t="s">
        <v>176</v>
      </c>
      <c r="N3">
        <v>571</v>
      </c>
    </row>
    <row r="4" spans="1:14">
      <c r="A4" s="20">
        <v>40562</v>
      </c>
      <c r="B4" s="20" t="s">
        <v>83</v>
      </c>
      <c r="C4" t="s">
        <v>78</v>
      </c>
      <c r="D4" t="s">
        <v>59</v>
      </c>
      <c r="E4" t="s">
        <v>74</v>
      </c>
      <c r="F4" t="s">
        <v>67</v>
      </c>
      <c r="G4" t="s">
        <v>62</v>
      </c>
      <c r="H4" t="s">
        <v>77</v>
      </c>
      <c r="I4" t="s">
        <v>60</v>
      </c>
      <c r="J4" t="s">
        <v>63</v>
      </c>
      <c r="K4" t="s">
        <v>70</v>
      </c>
      <c r="L4" t="s">
        <v>52</v>
      </c>
      <c r="M4" t="s">
        <v>75</v>
      </c>
      <c r="N4">
        <v>217</v>
      </c>
    </row>
    <row r="5" spans="1:14">
      <c r="A5" s="20">
        <v>40562</v>
      </c>
      <c r="B5" s="20" t="s">
        <v>84</v>
      </c>
      <c r="C5" t="s">
        <v>68</v>
      </c>
      <c r="D5" t="s">
        <v>62</v>
      </c>
      <c r="E5" t="s">
        <v>57</v>
      </c>
      <c r="F5" t="s">
        <v>71</v>
      </c>
      <c r="G5" t="s">
        <v>55</v>
      </c>
      <c r="H5" t="s">
        <v>59</v>
      </c>
      <c r="I5" t="s">
        <v>60</v>
      </c>
      <c r="J5" t="s">
        <v>61</v>
      </c>
      <c r="K5" t="s">
        <v>67</v>
      </c>
      <c r="L5" t="s">
        <v>52</v>
      </c>
      <c r="M5" t="s">
        <v>75</v>
      </c>
      <c r="N5">
        <v>301</v>
      </c>
    </row>
    <row r="6" spans="1:14">
      <c r="A6" s="20">
        <v>40562</v>
      </c>
      <c r="B6" s="20" t="s">
        <v>85</v>
      </c>
      <c r="C6" t="s">
        <v>74</v>
      </c>
      <c r="D6" t="s">
        <v>64</v>
      </c>
      <c r="E6" t="s">
        <v>63</v>
      </c>
      <c r="F6" t="s">
        <v>78</v>
      </c>
      <c r="G6" t="s">
        <v>55</v>
      </c>
      <c r="H6" t="s">
        <v>73</v>
      </c>
      <c r="I6" t="s">
        <v>60</v>
      </c>
      <c r="J6" t="s">
        <v>61</v>
      </c>
      <c r="K6" t="s">
        <v>67</v>
      </c>
      <c r="L6" t="s">
        <v>52</v>
      </c>
      <c r="M6" t="s">
        <v>75</v>
      </c>
      <c r="N6">
        <v>298</v>
      </c>
    </row>
    <row r="7" spans="1:14">
      <c r="A7" s="20">
        <v>40562</v>
      </c>
      <c r="B7" s="20" t="s">
        <v>86</v>
      </c>
      <c r="C7" t="s">
        <v>77</v>
      </c>
      <c r="D7" t="s">
        <v>63</v>
      </c>
      <c r="E7" t="s">
        <v>58</v>
      </c>
      <c r="F7" t="s">
        <v>68</v>
      </c>
      <c r="G7" t="s">
        <v>55</v>
      </c>
      <c r="H7" t="s">
        <v>74</v>
      </c>
      <c r="I7" t="s">
        <v>60</v>
      </c>
      <c r="J7" t="s">
        <v>61</v>
      </c>
      <c r="K7" t="s">
        <v>67</v>
      </c>
      <c r="L7" t="s">
        <v>52</v>
      </c>
      <c r="M7" t="s">
        <v>75</v>
      </c>
      <c r="N7">
        <v>423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3"/>
  <dimension ref="A1:G7"/>
  <sheetViews>
    <sheetView workbookViewId="0">
      <selection activeCell="G23" sqref="G23"/>
    </sheetView>
  </sheetViews>
  <sheetFormatPr defaultRowHeight="14.5"/>
  <sheetData>
    <row r="1" spans="1:7">
      <c r="A1" s="32" t="s">
        <v>5</v>
      </c>
      <c r="B1" s="33">
        <v>40562</v>
      </c>
      <c r="C1" s="33">
        <v>40563</v>
      </c>
      <c r="D1" s="33">
        <v>40564</v>
      </c>
      <c r="E1" s="33">
        <v>40565</v>
      </c>
      <c r="F1" s="33">
        <v>40566</v>
      </c>
      <c r="G1" s="33" t="s">
        <v>32</v>
      </c>
    </row>
    <row r="2" spans="1:7">
      <c r="A2" t="s">
        <v>216</v>
      </c>
      <c r="B2">
        <v>519</v>
      </c>
      <c r="G2">
        <f t="shared" ref="G2:G7" si="0">SUM(B2:F2)</f>
        <v>519</v>
      </c>
    </row>
    <row r="3" spans="1:7">
      <c r="A3" t="s">
        <v>217</v>
      </c>
      <c r="B3">
        <v>571</v>
      </c>
      <c r="G3">
        <f t="shared" si="0"/>
        <v>571</v>
      </c>
    </row>
    <row r="4" spans="1:7">
      <c r="A4" t="s">
        <v>83</v>
      </c>
      <c r="B4">
        <v>217</v>
      </c>
      <c r="G4">
        <f t="shared" si="0"/>
        <v>217</v>
      </c>
    </row>
    <row r="5" spans="1:7">
      <c r="A5" t="s">
        <v>84</v>
      </c>
      <c r="B5">
        <v>301</v>
      </c>
      <c r="G5">
        <f t="shared" si="0"/>
        <v>301</v>
      </c>
    </row>
    <row r="6" spans="1:7">
      <c r="A6" t="s">
        <v>85</v>
      </c>
      <c r="B6">
        <v>298</v>
      </c>
      <c r="G6">
        <f t="shared" si="0"/>
        <v>298</v>
      </c>
    </row>
    <row r="7" spans="1:7">
      <c r="A7" t="s">
        <v>86</v>
      </c>
      <c r="B7">
        <v>423</v>
      </c>
      <c r="G7">
        <f t="shared" si="0"/>
        <v>423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D10"/>
  <sheetViews>
    <sheetView tabSelected="1" workbookViewId="0">
      <selection activeCell="F18" sqref="F18"/>
    </sheetView>
  </sheetViews>
  <sheetFormatPr defaultRowHeight="14.5"/>
  <cols>
    <col min="2" max="2" width="9.7265625" bestFit="1" customWidth="1"/>
    <col min="3" max="3" width="16.26953125" bestFit="1" customWidth="1"/>
    <col min="4" max="4" width="15.453125" bestFit="1" customWidth="1"/>
  </cols>
  <sheetData>
    <row r="1" spans="1:4">
      <c r="A1" s="32" t="s">
        <v>5</v>
      </c>
      <c r="B1" s="32" t="s">
        <v>26</v>
      </c>
      <c r="C1" s="32" t="s">
        <v>36</v>
      </c>
      <c r="D1" s="32" t="s">
        <v>37</v>
      </c>
    </row>
    <row r="2" spans="1:4">
      <c r="A2" t="s">
        <v>216</v>
      </c>
      <c r="B2" s="106">
        <v>40593</v>
      </c>
      <c r="C2" t="s">
        <v>61</v>
      </c>
      <c r="D2" t="s">
        <v>60</v>
      </c>
    </row>
    <row r="3" spans="1:4">
      <c r="A3" t="s">
        <v>216</v>
      </c>
      <c r="B3" s="106">
        <v>42042</v>
      </c>
      <c r="C3" t="s">
        <v>59</v>
      </c>
      <c r="D3" t="s">
        <v>72</v>
      </c>
    </row>
    <row r="4" spans="1:4">
      <c r="A4" t="s">
        <v>84</v>
      </c>
      <c r="B4" s="106">
        <v>42042</v>
      </c>
      <c r="C4" t="s">
        <v>71</v>
      </c>
      <c r="D4" t="s">
        <v>52</v>
      </c>
    </row>
    <row r="5" spans="1:4">
      <c r="A5" t="s">
        <v>86</v>
      </c>
      <c r="B5" s="106">
        <v>42042</v>
      </c>
      <c r="C5" t="s">
        <v>74</v>
      </c>
      <c r="D5" t="s">
        <v>76</v>
      </c>
    </row>
    <row r="6" spans="1:4">
      <c r="A6" t="s">
        <v>216</v>
      </c>
      <c r="B6" s="106">
        <v>42042</v>
      </c>
      <c r="C6" t="s">
        <v>72</v>
      </c>
      <c r="D6" t="s">
        <v>53</v>
      </c>
    </row>
    <row r="7" spans="1:4">
      <c r="A7" t="s">
        <v>84</v>
      </c>
      <c r="B7" s="106">
        <v>42042</v>
      </c>
      <c r="C7" t="s">
        <v>52</v>
      </c>
      <c r="D7" t="s">
        <v>54</v>
      </c>
    </row>
    <row r="8" spans="1:4">
      <c r="A8" t="s">
        <v>86</v>
      </c>
      <c r="B8" s="106">
        <v>42042</v>
      </c>
      <c r="C8" t="s">
        <v>68</v>
      </c>
      <c r="D8" t="s">
        <v>70</v>
      </c>
    </row>
    <row r="9" spans="1:4">
      <c r="A9" t="s">
        <v>216</v>
      </c>
      <c r="B9" s="106">
        <v>42042</v>
      </c>
      <c r="C9" t="s">
        <v>53</v>
      </c>
      <c r="D9" t="s">
        <v>78</v>
      </c>
    </row>
    <row r="10" spans="1:4">
      <c r="A10" t="s">
        <v>216</v>
      </c>
      <c r="B10" s="106">
        <v>42042</v>
      </c>
      <c r="C10" t="s">
        <v>78</v>
      </c>
      <c r="D10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TeamConfig Simulator</vt:lpstr>
      <vt:lpstr>Main</vt:lpstr>
      <vt:lpstr>TeamConfig</vt:lpstr>
      <vt:lpstr>Batting</vt:lpstr>
      <vt:lpstr>Bowling</vt:lpstr>
      <vt:lpstr>Fielding</vt:lpstr>
      <vt:lpstr>Score</vt:lpstr>
      <vt:lpstr>PlayerPool</vt:lpstr>
      <vt:lpstr>DailyTeamScore</vt:lpstr>
      <vt:lpstr>TotalTeamScore</vt:lpstr>
      <vt:lpstr>SubstitutionLog</vt:lpstr>
      <vt:lpstr>abc</vt:lpstr>
      <vt:lpstr>batting</vt:lpstr>
      <vt:lpstr>bowling</vt:lpstr>
      <vt:lpstr>Fielding</vt:lpstr>
      <vt:lpstr>Player</vt:lpstr>
      <vt:lpstr>Score</vt:lpstr>
      <vt:lpstr>score_d</vt:lpstr>
      <vt:lpstr>score_p</vt:lpstr>
      <vt:lpstr>test1</vt:lpstr>
      <vt:lpstr>Universal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Sameer</dc:creator>
  <cp:lastModifiedBy>sameer sekhar</cp:lastModifiedBy>
  <dcterms:created xsi:type="dcterms:W3CDTF">2011-01-13T07:39:30Z</dcterms:created>
  <dcterms:modified xsi:type="dcterms:W3CDTF">2015-02-06T19:11:25Z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Pass_1" visible="true" label="ShowPass" onAction="ShowPass" imageMso="ViewDisplayInHighContrast"/>
      </mso:documentControls>
    </mso:qat>
  </mso:ribbon>
</mso:customUI>
</file>